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502\Downloads\"/>
    </mc:Choice>
  </mc:AlternateContent>
  <bookViews>
    <workbookView xWindow="0" yWindow="0" windowWidth="28800" windowHeight="12165"/>
  </bookViews>
  <sheets>
    <sheet name="GD 실습" sheetId="1" r:id="rId1"/>
    <sheet name="학습률 비교" sheetId="2" r:id="rId2"/>
    <sheet name="GD 실습-정지 기준" sheetId="4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12" i="2"/>
  <c r="G13" i="2"/>
  <c r="G14" i="2"/>
  <c r="G15" i="2"/>
  <c r="G16" i="2"/>
  <c r="G17" i="2"/>
  <c r="G18" i="2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12" i="2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12" i="2"/>
  <c r="E13" i="2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12" i="2"/>
  <c r="D13" i="2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12" i="2"/>
  <c r="C13" i="2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12" i="2"/>
  <c r="B12" i="2"/>
  <c r="C11" i="2"/>
  <c r="D11" i="2"/>
  <c r="E11" i="2"/>
  <c r="F11" i="2"/>
  <c r="G11" i="2"/>
  <c r="H11" i="2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E13" i="1"/>
  <c r="B14" i="1" s="1"/>
  <c r="C13" i="1"/>
  <c r="D13" i="1"/>
  <c r="B13" i="1"/>
  <c r="D14" i="1" l="1"/>
  <c r="C14" i="1"/>
  <c r="E14" i="1" s="1"/>
  <c r="B15" i="1" s="1"/>
  <c r="F8" i="1"/>
  <c r="B12" i="4"/>
  <c r="K6" i="4"/>
  <c r="G4" i="4"/>
  <c r="B11" i="2"/>
  <c r="J6" i="1"/>
  <c r="F4" i="1"/>
  <c r="D15" i="1" l="1"/>
  <c r="C15" i="1"/>
  <c r="E15" i="1" s="1"/>
  <c r="B16" i="1" s="1"/>
  <c r="C12" i="4"/>
  <c r="F12" i="4" s="1"/>
  <c r="D12" i="4"/>
  <c r="B13" i="2"/>
  <c r="E16" i="1" l="1"/>
  <c r="B17" i="1" s="1"/>
  <c r="C16" i="1"/>
  <c r="D16" i="1"/>
  <c r="B13" i="4"/>
  <c r="G12" i="4"/>
  <c r="I12" i="4" s="1"/>
  <c r="B14" i="2"/>
  <c r="C17" i="1" l="1"/>
  <c r="E17" i="1" s="1"/>
  <c r="B18" i="1" s="1"/>
  <c r="D17" i="1"/>
  <c r="C13" i="4"/>
  <c r="F13" i="4" s="1"/>
  <c r="D13" i="4"/>
  <c r="B15" i="2"/>
  <c r="C18" i="1" l="1"/>
  <c r="E18" i="1"/>
  <c r="B19" i="1" s="1"/>
  <c r="D18" i="1"/>
  <c r="G13" i="4"/>
  <c r="I13" i="4" s="1"/>
  <c r="B14" i="4"/>
  <c r="B16" i="2"/>
  <c r="C19" i="1" l="1"/>
  <c r="E19" i="1"/>
  <c r="B20" i="1" s="1"/>
  <c r="D19" i="1"/>
  <c r="C14" i="4"/>
  <c r="F14" i="4" s="1"/>
  <c r="D14" i="4"/>
  <c r="B17" i="2"/>
  <c r="D20" i="1" l="1"/>
  <c r="C20" i="1"/>
  <c r="E20" i="1" s="1"/>
  <c r="B21" i="1" s="1"/>
  <c r="B15" i="4"/>
  <c r="G14" i="4"/>
  <c r="I14" i="4" s="1"/>
  <c r="B18" i="2"/>
  <c r="D21" i="1" l="1"/>
  <c r="C21" i="1"/>
  <c r="E21" i="1"/>
  <c r="B22" i="1" s="1"/>
  <c r="C15" i="4"/>
  <c r="F15" i="4" s="1"/>
  <c r="D15" i="4"/>
  <c r="B19" i="2"/>
  <c r="D22" i="1" l="1"/>
  <c r="C22" i="1"/>
  <c r="E22" i="1"/>
  <c r="B23" i="1" s="1"/>
  <c r="G15" i="4"/>
  <c r="I15" i="4" s="1"/>
  <c r="B16" i="4"/>
  <c r="B20" i="2"/>
  <c r="C23" i="1" l="1"/>
  <c r="D23" i="1"/>
  <c r="E23" i="1"/>
  <c r="B24" i="1" s="1"/>
  <c r="C16" i="4"/>
  <c r="F16" i="4" s="1"/>
  <c r="D16" i="4"/>
  <c r="B21" i="2"/>
  <c r="E24" i="1" l="1"/>
  <c r="B25" i="1" s="1"/>
  <c r="D24" i="1"/>
  <c r="C24" i="1"/>
  <c r="G16" i="4"/>
  <c r="I16" i="4" s="1"/>
  <c r="B17" i="4"/>
  <c r="B22" i="2"/>
  <c r="D25" i="1" l="1"/>
  <c r="C25" i="1"/>
  <c r="E25" i="1"/>
  <c r="B26" i="1" s="1"/>
  <c r="C17" i="4"/>
  <c r="F17" i="4"/>
  <c r="D17" i="4"/>
  <c r="B23" i="2"/>
  <c r="D26" i="1" l="1"/>
  <c r="C26" i="1"/>
  <c r="E26" i="1" s="1"/>
  <c r="B27" i="1" s="1"/>
  <c r="G17" i="4"/>
  <c r="I17" i="4" s="1"/>
  <c r="B18" i="4"/>
  <c r="B24" i="2"/>
  <c r="D27" i="1" l="1"/>
  <c r="C27" i="1"/>
  <c r="E27" i="1" s="1"/>
  <c r="B28" i="1" s="1"/>
  <c r="D18" i="4"/>
  <c r="C18" i="4"/>
  <c r="F18" i="4" s="1"/>
  <c r="B25" i="2"/>
  <c r="D28" i="1" l="1"/>
  <c r="C28" i="1"/>
  <c r="E28" i="1"/>
  <c r="B29" i="1" s="1"/>
  <c r="G18" i="4"/>
  <c r="I18" i="4" s="1"/>
  <c r="B19" i="4"/>
  <c r="B26" i="2"/>
  <c r="D29" i="1" l="1"/>
  <c r="C29" i="1"/>
  <c r="E29" i="1" s="1"/>
  <c r="B30" i="1" s="1"/>
  <c r="D19" i="4"/>
  <c r="C19" i="4"/>
  <c r="F19" i="4" s="1"/>
  <c r="B27" i="2"/>
  <c r="D30" i="1" l="1"/>
  <c r="C30" i="1"/>
  <c r="E30" i="1" s="1"/>
  <c r="B31" i="1" s="1"/>
  <c r="B20" i="4"/>
  <c r="G19" i="4"/>
  <c r="I19" i="4" s="1"/>
  <c r="B28" i="2"/>
  <c r="D31" i="1" l="1"/>
  <c r="C31" i="1"/>
  <c r="E31" i="1" s="1"/>
  <c r="B32" i="1" s="1"/>
  <c r="D20" i="4"/>
  <c r="C20" i="4"/>
  <c r="F20" i="4" s="1"/>
  <c r="B29" i="2"/>
  <c r="D32" i="1" l="1"/>
  <c r="C32" i="1"/>
  <c r="E32" i="1" s="1"/>
  <c r="B33" i="1" s="1"/>
  <c r="B21" i="4"/>
  <c r="G20" i="4"/>
  <c r="I20" i="4" s="1"/>
  <c r="B30" i="2"/>
  <c r="C33" i="1" l="1"/>
  <c r="E33" i="1"/>
  <c r="B34" i="1" s="1"/>
  <c r="D33" i="1"/>
  <c r="C21" i="4"/>
  <c r="D21" i="4"/>
  <c r="F21" i="4"/>
  <c r="B31" i="2"/>
  <c r="C34" i="1" l="1"/>
  <c r="E34" i="1"/>
  <c r="B35" i="1" s="1"/>
  <c r="D34" i="1"/>
  <c r="G21" i="4"/>
  <c r="I21" i="4" s="1"/>
  <c r="B22" i="4"/>
  <c r="B32" i="2"/>
  <c r="C35" i="1" l="1"/>
  <c r="E35" i="1"/>
  <c r="B36" i="1" s="1"/>
  <c r="D35" i="1"/>
  <c r="C22" i="4"/>
  <c r="F22" i="4" s="1"/>
  <c r="D22" i="4"/>
  <c r="B33" i="2"/>
  <c r="C36" i="1" l="1"/>
  <c r="E36" i="1"/>
  <c r="B37" i="1" s="1"/>
  <c r="D36" i="1"/>
  <c r="B23" i="4"/>
  <c r="G22" i="4"/>
  <c r="I22" i="4" s="1"/>
  <c r="B34" i="2"/>
  <c r="D37" i="1" l="1"/>
  <c r="C37" i="1"/>
  <c r="E37" i="1" s="1"/>
  <c r="B38" i="1" s="1"/>
  <c r="D23" i="4"/>
  <c r="C23" i="4"/>
  <c r="F23" i="4" s="1"/>
  <c r="B35" i="2"/>
  <c r="D38" i="1" l="1"/>
  <c r="E38" i="1"/>
  <c r="B39" i="1" s="1"/>
  <c r="C38" i="1"/>
  <c r="B24" i="4"/>
  <c r="G23" i="4"/>
  <c r="I23" i="4" s="1"/>
  <c r="B36" i="2"/>
  <c r="D39" i="1" l="1"/>
  <c r="E39" i="1"/>
  <c r="B40" i="1" s="1"/>
  <c r="C39" i="1"/>
  <c r="C24" i="4"/>
  <c r="F24" i="4" s="1"/>
  <c r="D24" i="4"/>
  <c r="D40" i="1" l="1"/>
  <c r="C40" i="1"/>
  <c r="E40" i="1" s="1"/>
  <c r="B41" i="1" s="1"/>
  <c r="G24" i="4"/>
  <c r="I24" i="4" s="1"/>
  <c r="B25" i="4"/>
  <c r="C41" i="1" l="1"/>
  <c r="E41" i="1"/>
  <c r="B42" i="1" s="1"/>
  <c r="D41" i="1"/>
  <c r="D25" i="4"/>
  <c r="C25" i="4"/>
  <c r="F25" i="4"/>
  <c r="D42" i="1" l="1"/>
  <c r="C42" i="1"/>
  <c r="E42" i="1" s="1"/>
  <c r="B43" i="1" s="1"/>
  <c r="G25" i="4"/>
  <c r="I25" i="4" s="1"/>
  <c r="B26" i="4"/>
  <c r="C43" i="1" l="1"/>
  <c r="E43" i="1"/>
  <c r="D43" i="1"/>
  <c r="D26" i="4"/>
  <c r="C26" i="4"/>
  <c r="F26" i="4" s="1"/>
  <c r="G26" i="4" l="1"/>
  <c r="I26" i="4" s="1"/>
  <c r="B27" i="4"/>
  <c r="D27" i="4" l="1"/>
  <c r="C27" i="4"/>
  <c r="F27" i="4" s="1"/>
  <c r="B28" i="4" l="1"/>
  <c r="G27" i="4"/>
  <c r="I27" i="4" s="1"/>
  <c r="D28" i="4" l="1"/>
  <c r="C28" i="4"/>
  <c r="F28" i="4" s="1"/>
  <c r="B29" i="4" l="1"/>
  <c r="G28" i="4"/>
  <c r="I28" i="4" s="1"/>
  <c r="D29" i="4" l="1"/>
  <c r="C29" i="4"/>
  <c r="F29" i="4" s="1"/>
  <c r="B30" i="4" l="1"/>
  <c r="G29" i="4"/>
  <c r="I29" i="4" s="1"/>
  <c r="D30" i="4" l="1"/>
  <c r="C30" i="4"/>
  <c r="F30" i="4"/>
  <c r="B31" i="4" l="1"/>
  <c r="G30" i="4"/>
  <c r="I30" i="4" s="1"/>
  <c r="C31" i="4" l="1"/>
  <c r="F31" i="4" s="1"/>
  <c r="D31" i="4"/>
  <c r="G31" i="4" l="1"/>
  <c r="I31" i="4" s="1"/>
  <c r="B32" i="4"/>
  <c r="D32" i="4" l="1"/>
  <c r="C32" i="4"/>
  <c r="F32" i="4" s="1"/>
  <c r="B33" i="4" l="1"/>
  <c r="G32" i="4"/>
  <c r="I32" i="4" s="1"/>
  <c r="D33" i="4" l="1"/>
  <c r="C33" i="4"/>
  <c r="F33" i="4" s="1"/>
  <c r="G33" i="4" l="1"/>
  <c r="I33" i="4" s="1"/>
  <c r="B34" i="4"/>
  <c r="D34" i="4" l="1"/>
  <c r="C34" i="4"/>
  <c r="F34" i="4" s="1"/>
  <c r="G34" i="4" l="1"/>
  <c r="I34" i="4" s="1"/>
  <c r="B35" i="4"/>
  <c r="D35" i="4" l="1"/>
  <c r="C35" i="4"/>
  <c r="F35" i="4"/>
  <c r="B36" i="4" l="1"/>
  <c r="G35" i="4"/>
  <c r="I35" i="4" s="1"/>
  <c r="D36" i="4" l="1"/>
  <c r="C36" i="4"/>
  <c r="F36" i="4" s="1"/>
  <c r="G36" i="4" l="1"/>
  <c r="I36" i="4" s="1"/>
  <c r="B37" i="4"/>
  <c r="C37" i="4" l="1"/>
  <c r="F37" i="4" s="1"/>
  <c r="D37" i="4"/>
  <c r="G37" i="4" l="1"/>
  <c r="I37" i="4" s="1"/>
  <c r="B38" i="4"/>
  <c r="D38" i="4" l="1"/>
  <c r="C38" i="4"/>
  <c r="F38" i="4" s="1"/>
  <c r="B39" i="4" l="1"/>
  <c r="G38" i="4"/>
  <c r="I38" i="4" s="1"/>
  <c r="C39" i="4" l="1"/>
  <c r="F39" i="4" s="1"/>
  <c r="D39" i="4"/>
  <c r="B40" i="4" l="1"/>
  <c r="G39" i="4"/>
  <c r="I39" i="4" s="1"/>
  <c r="C40" i="4" l="1"/>
  <c r="F40" i="4" s="1"/>
  <c r="D40" i="4"/>
  <c r="G40" i="4" l="1"/>
  <c r="I40" i="4" s="1"/>
  <c r="B41" i="4"/>
  <c r="C41" i="4" l="1"/>
  <c r="F41" i="4" s="1"/>
  <c r="D41" i="4"/>
  <c r="G41" i="4" l="1"/>
  <c r="I41" i="4" s="1"/>
  <c r="B42" i="4"/>
  <c r="C42" i="4" l="1"/>
  <c r="F42" i="4" s="1"/>
  <c r="G42" i="4" s="1"/>
  <c r="I42" i="4" s="1"/>
  <c r="K5" i="4" s="1"/>
  <c r="G6" i="4" s="1"/>
  <c r="D42" i="4"/>
  <c r="K4" i="4"/>
  <c r="F5" i="1"/>
  <c r="J4" i="1"/>
  <c r="J5" i="1"/>
  <c r="F6" i="1" s="1"/>
  <c r="G5" i="4" l="1"/>
</calcChain>
</file>

<file path=xl/sharedStrings.xml><?xml version="1.0" encoding="utf-8"?>
<sst xmlns="http://schemas.openxmlformats.org/spreadsheetml/2006/main" count="83" uniqueCount="51">
  <si>
    <t>1변수 함수에 대한 Gradient Descent 실습: f(x)=x^2+1</t>
  </si>
  <si>
    <t>입력값(수정 가능)</t>
  </si>
  <si>
    <t>핵심 요약</t>
  </si>
  <si>
    <t>함수</t>
  </si>
  <si>
    <t>최솟값은 x*=0, f*=1</t>
  </si>
  <si>
    <t>최종 반복</t>
  </si>
  <si>
    <t>최종 x</t>
  </si>
  <si>
    <t>초깃값 x0</t>
  </si>
  <si>
    <t>예: 5, -3 등</t>
  </si>
  <si>
    <t>최종 f(x)</t>
  </si>
  <si>
    <t>학습률 α</t>
  </si>
  <si>
    <t>예: 0.01, 0.1, 0.9, 1.1</t>
  </si>
  <si>
    <t>수렴 여부</t>
  </si>
  <si>
    <t>권장 확인</t>
  </si>
  <si>
    <t>최대 반복 횟수</t>
  </si>
  <si>
    <t>표는 0~30까지 표시</t>
  </si>
  <si>
    <t>정지 기준 tol</t>
  </si>
  <si>
    <t>|x_{k+1}-x_k| &lt; tol</t>
  </si>
  <si>
    <t>반복 과정 표 (노란색 입력값을 바꾸면 자동 계산)</t>
  </si>
  <si>
    <t>k</t>
  </si>
  <si>
    <t>x_k</t>
  </si>
  <si>
    <t>gradient 2x_k</t>
  </si>
  <si>
    <t>f(x_k)</t>
  </si>
  <si>
    <t>x_{k+1}=x_k-α·2x_k</t>
  </si>
  <si>
    <t>변화량 Δx</t>
  </si>
  <si>
    <t>학습률 α에 따른 GD 수렴 비교: f(x)=x^2+1, x0=5</t>
  </si>
  <si>
    <t>반복 횟수</t>
  </si>
  <si>
    <t>기준: x*=0</t>
  </si>
  <si>
    <t>기준: f*=1</t>
  </si>
  <si>
    <t>비고</t>
  </si>
  <si>
    <t>α&lt;1이면 이 예제에서는 수렴, α=1이면 한 번에 x=0, α&gt;1이면 진동/발산 가능</t>
  </si>
  <si>
    <t>α=0.01</t>
  </si>
  <si>
    <t>α=0.05</t>
  </si>
  <si>
    <t>α=0.1</t>
  </si>
  <si>
    <t>α=0.5</t>
  </si>
  <si>
    <t>α=0.9</t>
  </si>
  <si>
    <t>α=1.0</t>
  </si>
  <si>
    <t>α=1.1</t>
  </si>
  <si>
    <t>f, α=0.01</t>
  </si>
  <si>
    <t>f, α=0.05</t>
  </si>
  <si>
    <t>f, α=0.1</t>
  </si>
  <si>
    <t>f, α=0.5</t>
  </si>
  <si>
    <t>f, α=0.9</t>
  </si>
  <si>
    <t>f, α=1.0</t>
  </si>
  <si>
    <t>f, α=1.1</t>
  </si>
  <si>
    <t>|Δx|</t>
    <phoneticPr fontId="5" type="noConversion"/>
  </si>
  <si>
    <r>
      <rPr>
        <b/>
        <sz val="11"/>
        <rFont val="맑은 고딕"/>
        <family val="3"/>
        <charset val="129"/>
      </rPr>
      <t>최종</t>
    </r>
    <r>
      <rPr>
        <b/>
        <sz val="11"/>
        <rFont val="Arial"/>
        <family val="2"/>
      </rPr>
      <t>|Δx|</t>
    </r>
    <phoneticPr fontId="5" type="noConversion"/>
  </si>
  <si>
    <t>x* - x_k</t>
    <phoneticPr fontId="5" type="noConversion"/>
  </si>
  <si>
    <t>f(x)=x^2+1</t>
    <phoneticPr fontId="5" type="noConversion"/>
  </si>
  <si>
    <t>f(x_{k+1})-f(x_k)</t>
    <phoneticPr fontId="5" type="noConversion"/>
  </si>
  <si>
    <r>
      <t>정해</t>
    </r>
    <r>
      <rPr>
        <b/>
        <sz val="11"/>
        <rFont val="Carlito"/>
        <family val="2"/>
      </rPr>
      <t xml:space="preserve">: </t>
    </r>
    <r>
      <rPr>
        <b/>
        <sz val="11"/>
        <rFont val="Carlito"/>
      </rPr>
      <t>수렴성</t>
    </r>
    <r>
      <rPr>
        <b/>
        <sz val="11"/>
        <rFont val="Carlito"/>
        <family val="2"/>
      </rPr>
      <t xml:space="preserve"> </t>
    </r>
    <r>
      <rPr>
        <b/>
        <sz val="11"/>
        <rFont val="Carlito"/>
      </rPr>
      <t>확인용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</si>
</sst>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"/>
  </numFmts>
  <fonts count="11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b/>
      <sz val="11"/>
      <name val="Arial"/>
      <family val="2"/>
    </font>
    <font>
      <b/>
      <sz val="11"/>
      <name val="Carlito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Carlito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AF7EA"/>
      </patternFill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2" fillId="4" borderId="0" xfId="1" applyFont="1" applyFill="1"/>
    <xf numFmtId="0" fontId="0" fillId="5" borderId="0" xfId="1" applyFont="1" applyFill="1"/>
    <xf numFmtId="0" fontId="2" fillId="4" borderId="1" xfId="1" applyFont="1" applyFill="1" applyBorder="1"/>
    <xf numFmtId="0" fontId="0" fillId="5" borderId="2" xfId="1" applyFont="1" applyFill="1" applyBorder="1"/>
    <xf numFmtId="0" fontId="0" fillId="0" borderId="3" xfId="1" applyFont="1" applyBorder="1"/>
    <xf numFmtId="0" fontId="2" fillId="4" borderId="4" xfId="1" applyFont="1" applyFill="1" applyBorder="1"/>
    <xf numFmtId="0" fontId="0" fillId="5" borderId="5" xfId="1" applyFont="1" applyFill="1" applyBorder="1"/>
    <xf numFmtId="0" fontId="0" fillId="0" borderId="6" xfId="1" applyFont="1" applyBorder="1"/>
    <xf numFmtId="0" fontId="2" fillId="4" borderId="7" xfId="1" applyFont="1" applyFill="1" applyBorder="1"/>
    <xf numFmtId="0" fontId="0" fillId="5" borderId="8" xfId="1" applyFont="1" applyFill="1" applyBorder="1"/>
    <xf numFmtId="0" fontId="0" fillId="0" borderId="9" xfId="1" applyFont="1" applyBorder="1"/>
    <xf numFmtId="176" fontId="0" fillId="0" borderId="0" xfId="1" applyNumberFormat="1" applyFont="1"/>
    <xf numFmtId="0" fontId="3" fillId="9" borderId="10" xfId="1" applyFont="1" applyFill="1" applyBorder="1" applyAlignment="1">
      <alignment horizontal="center"/>
    </xf>
    <xf numFmtId="0" fontId="3" fillId="9" borderId="11" xfId="1" applyFont="1" applyFill="1" applyBorder="1" applyAlignment="1">
      <alignment horizontal="center"/>
    </xf>
    <xf numFmtId="0" fontId="3" fillId="9" borderId="12" xfId="1" applyFont="1" applyFill="1" applyBorder="1" applyAlignment="1">
      <alignment horizontal="center"/>
    </xf>
    <xf numFmtId="0" fontId="0" fillId="0" borderId="13" xfId="1" applyFont="1" applyBorder="1" applyAlignment="1">
      <alignment horizontal="center"/>
    </xf>
    <xf numFmtId="176" fontId="0" fillId="0" borderId="14" xfId="1" applyNumberFormat="1" applyFont="1" applyBorder="1"/>
    <xf numFmtId="176" fontId="0" fillId="0" borderId="15" xfId="1" applyNumberFormat="1" applyFont="1" applyBorder="1"/>
    <xf numFmtId="0" fontId="0" fillId="0" borderId="16" xfId="1" applyFont="1" applyBorder="1" applyAlignment="1">
      <alignment horizontal="center"/>
    </xf>
    <xf numFmtId="176" fontId="0" fillId="0" borderId="17" xfId="1" applyNumberFormat="1" applyFont="1" applyBorder="1"/>
    <xf numFmtId="176" fontId="0" fillId="0" borderId="18" xfId="1" applyNumberFormat="1" applyFont="1" applyBorder="1"/>
    <xf numFmtId="0" fontId="3" fillId="9" borderId="19" xfId="1" applyFont="1" applyFill="1" applyBorder="1" applyAlignment="1">
      <alignment horizontal="center"/>
    </xf>
    <xf numFmtId="0" fontId="3" fillId="9" borderId="20" xfId="1" applyFont="1" applyFill="1" applyBorder="1" applyAlignment="1">
      <alignment horizontal="center"/>
    </xf>
    <xf numFmtId="0" fontId="3" fillId="9" borderId="21" xfId="1" applyFont="1" applyFill="1" applyBorder="1" applyAlignment="1">
      <alignment horizontal="center"/>
    </xf>
    <xf numFmtId="0" fontId="0" fillId="0" borderId="13" xfId="1" applyFont="1" applyBorder="1"/>
    <xf numFmtId="0" fontId="0" fillId="0" borderId="22" xfId="1" applyFont="1" applyBorder="1"/>
    <xf numFmtId="176" fontId="0" fillId="0" borderId="23" xfId="1" applyNumberFormat="1" applyFont="1" applyBorder="1"/>
    <xf numFmtId="176" fontId="0" fillId="0" borderId="24" xfId="1" applyNumberFormat="1" applyFont="1" applyBorder="1"/>
    <xf numFmtId="176" fontId="0" fillId="0" borderId="25" xfId="1" applyNumberFormat="1" applyFont="1" applyBorder="1"/>
    <xf numFmtId="0" fontId="3" fillId="10" borderId="19" xfId="1" applyFont="1" applyFill="1" applyBorder="1" applyAlignment="1">
      <alignment horizontal="center"/>
    </xf>
    <xf numFmtId="0" fontId="3" fillId="10" borderId="20" xfId="1" applyFont="1" applyFill="1" applyBorder="1" applyAlignment="1">
      <alignment horizontal="center"/>
    </xf>
    <xf numFmtId="0" fontId="3" fillId="10" borderId="21" xfId="1" applyFont="1" applyFill="1" applyBorder="1" applyAlignment="1">
      <alignment horizontal="center"/>
    </xf>
    <xf numFmtId="176" fontId="0" fillId="7" borderId="0" xfId="1" applyNumberFormat="1" applyFont="1" applyFill="1"/>
    <xf numFmtId="176" fontId="2" fillId="4" borderId="0" xfId="1" applyNumberFormat="1" applyFont="1" applyFill="1"/>
    <xf numFmtId="49" fontId="0" fillId="7" borderId="0" xfId="1" applyNumberFormat="1" applyFont="1" applyFill="1"/>
    <xf numFmtId="176" fontId="8" fillId="4" borderId="0" xfId="1" applyNumberFormat="1" applyFont="1" applyFill="1"/>
    <xf numFmtId="0" fontId="9" fillId="9" borderId="25" xfId="1" applyFont="1" applyFill="1" applyBorder="1" applyAlignment="1">
      <alignment horizontal="center"/>
    </xf>
    <xf numFmtId="2" fontId="0" fillId="0" borderId="14" xfId="1" applyNumberFormat="1" applyFont="1" applyBorder="1"/>
    <xf numFmtId="2" fontId="0" fillId="0" borderId="15" xfId="1" applyNumberFormat="1" applyFont="1" applyBorder="1"/>
    <xf numFmtId="2" fontId="0" fillId="0" borderId="23" xfId="1" applyNumberFormat="1" applyFont="1" applyBorder="1"/>
    <xf numFmtId="0" fontId="3" fillId="11" borderId="11" xfId="1" applyFont="1" applyFill="1" applyBorder="1" applyAlignment="1">
      <alignment horizontal="center"/>
    </xf>
    <xf numFmtId="0" fontId="3" fillId="11" borderId="25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" fillId="4" borderId="25" xfId="1" applyFont="1" applyFill="1" applyBorder="1"/>
    <xf numFmtId="0" fontId="0" fillId="0" borderId="25" xfId="1" applyFont="1" applyBorder="1"/>
    <xf numFmtId="0" fontId="0" fillId="0" borderId="25" xfId="1" applyFont="1" applyFill="1" applyBorder="1"/>
    <xf numFmtId="0" fontId="1" fillId="2" borderId="0" xfId="1" applyFont="1" applyFill="1" applyAlignment="1">
      <alignment horizontal="center" vertical="center"/>
    </xf>
    <xf numFmtId="0" fontId="0" fillId="0" borderId="0" xfId="0"/>
    <xf numFmtId="0" fontId="2" fillId="3" borderId="0" xfId="1" applyFont="1" applyFill="1" applyAlignment="1">
      <alignment horizontal="center"/>
    </xf>
    <xf numFmtId="0" fontId="2" fillId="6" borderId="0" xfId="1" applyFont="1" applyFill="1" applyAlignment="1">
      <alignment horizontal="center"/>
    </xf>
    <xf numFmtId="0" fontId="3" fillId="8" borderId="0" xfId="1" applyFont="1" applyFill="1" applyAlignment="1">
      <alignment horizontal="center"/>
    </xf>
    <xf numFmtId="0" fontId="1" fillId="2" borderId="0" xfId="1" applyFont="1" applyFill="1" applyAlignment="1">
      <alignment horizontal="center"/>
    </xf>
  </cellXfs>
  <cellStyles count="2">
    <cellStyle name="Normal" xfId="1"/>
    <cellStyle name="표준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76" formatCode="0.000000"/>
    </dxf>
    <dxf>
      <numFmt numFmtId="176" formatCode="0.000000"/>
    </dxf>
    <dxf>
      <numFmt numFmtId="176" formatCode="0.000000"/>
    </dxf>
    <dxf>
      <numFmt numFmtId="176" formatCode="0.000000"/>
    </dxf>
    <dxf>
      <numFmt numFmtId="176" formatCode="0.000000"/>
    </dxf>
    <dxf>
      <numFmt numFmtId="176" formatCode="0.000000"/>
    </dxf>
    <dxf>
      <numFmt numFmtId="176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76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76" formatCode="0.000000"/>
    </dxf>
    <dxf>
      <font>
        <color rgb="FF006100"/>
      </font>
      <fill>
        <patternFill patternType="solid"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반복에 따른 </a:t>
            </a:r>
            <a:r>
              <a:rPr lang="en-US"/>
              <a:t>x_k </a:t>
            </a:r>
            <a:r>
              <a:rPr lang="ko-KR" altLang="en-US"/>
              <a:t>및 </a:t>
            </a:r>
            <a:r>
              <a:rPr lang="en-US"/>
              <a:t>f(x_k)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x_k</c:v>
          </c:tx>
          <c:cat>
            <c:numRef>
              <c:f>'GD 실습'!$A$13:$A$43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실습'!$B$13:$B$43</c:f>
              <c:numCache>
                <c:formatCode>0.000000</c:formatCode>
                <c:ptCount val="31"/>
                <c:pt idx="0">
                  <c:v>5</c:v>
                </c:pt>
                <c:pt idx="1">
                  <c:v>4</c:v>
                </c:pt>
                <c:pt idx="2">
                  <c:v>3.2</c:v>
                </c:pt>
                <c:pt idx="3">
                  <c:v>2.56</c:v>
                </c:pt>
                <c:pt idx="4">
                  <c:v>2.048</c:v>
                </c:pt>
                <c:pt idx="5">
                  <c:v>1.6384000000000001</c:v>
                </c:pt>
                <c:pt idx="6">
                  <c:v>1.3107200000000001</c:v>
                </c:pt>
                <c:pt idx="7">
                  <c:v>1.0485760000000002</c:v>
                </c:pt>
                <c:pt idx="8">
                  <c:v>0.83886080000000018</c:v>
                </c:pt>
                <c:pt idx="9">
                  <c:v>0.67108864000000013</c:v>
                </c:pt>
                <c:pt idx="10">
                  <c:v>0.53687091200000014</c:v>
                </c:pt>
                <c:pt idx="11">
                  <c:v>0.42949672960000013</c:v>
                </c:pt>
                <c:pt idx="12">
                  <c:v>0.34359738368000009</c:v>
                </c:pt>
                <c:pt idx="13">
                  <c:v>0.27487790694400005</c:v>
                </c:pt>
                <c:pt idx="14">
                  <c:v>0.21990232555520003</c:v>
                </c:pt>
                <c:pt idx="15">
                  <c:v>0.17592186044416003</c:v>
                </c:pt>
                <c:pt idx="16">
                  <c:v>0.14073748835532801</c:v>
                </c:pt>
                <c:pt idx="17">
                  <c:v>0.11258999068426241</c:v>
                </c:pt>
                <c:pt idx="18">
                  <c:v>9.0071992547409926E-2</c:v>
                </c:pt>
                <c:pt idx="19">
                  <c:v>7.2057594037927941E-2</c:v>
                </c:pt>
                <c:pt idx="20">
                  <c:v>5.7646075230342354E-2</c:v>
                </c:pt>
                <c:pt idx="21">
                  <c:v>4.6116860184273883E-2</c:v>
                </c:pt>
                <c:pt idx="22">
                  <c:v>3.6893488147419107E-2</c:v>
                </c:pt>
                <c:pt idx="23">
                  <c:v>2.9514790517935284E-2</c:v>
                </c:pt>
                <c:pt idx="24">
                  <c:v>2.3611832414348229E-2</c:v>
                </c:pt>
                <c:pt idx="25">
                  <c:v>1.8889465931478583E-2</c:v>
                </c:pt>
                <c:pt idx="26">
                  <c:v>1.5111572745182867E-2</c:v>
                </c:pt>
                <c:pt idx="27">
                  <c:v>1.2089258196146294E-2</c:v>
                </c:pt>
                <c:pt idx="28">
                  <c:v>9.6714065569170355E-3</c:v>
                </c:pt>
                <c:pt idx="29">
                  <c:v>7.7371252455336282E-3</c:v>
                </c:pt>
                <c:pt idx="30">
                  <c:v>6.1897001964269028E-3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0-4F1B-A0D6-4DA0DC7E9D32}"/>
            </c:ext>
          </c:extLst>
        </c:ser>
        <c:ser>
          <c:idx val="1"/>
          <c:order val="1"/>
          <c:tx>
            <c:v>gradient 2x_k</c:v>
          </c:tx>
          <c:cat>
            <c:numRef>
              <c:f>'GD 실습'!$A$13:$A$43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실습'!$C$13:$C$43</c:f>
              <c:numCache>
                <c:formatCode>0.000000</c:formatCode>
                <c:ptCount val="31"/>
                <c:pt idx="0">
                  <c:v>10</c:v>
                </c:pt>
                <c:pt idx="1">
                  <c:v>8</c:v>
                </c:pt>
                <c:pt idx="2">
                  <c:v>6.4</c:v>
                </c:pt>
                <c:pt idx="3">
                  <c:v>5.12</c:v>
                </c:pt>
                <c:pt idx="4">
                  <c:v>4.0960000000000001</c:v>
                </c:pt>
                <c:pt idx="5">
                  <c:v>3.2768000000000002</c:v>
                </c:pt>
                <c:pt idx="6">
                  <c:v>2.6214400000000002</c:v>
                </c:pt>
                <c:pt idx="7">
                  <c:v>2.0971520000000003</c:v>
                </c:pt>
                <c:pt idx="8">
                  <c:v>1.6777216000000004</c:v>
                </c:pt>
                <c:pt idx="9">
                  <c:v>1.3421772800000003</c:v>
                </c:pt>
                <c:pt idx="10">
                  <c:v>1.0737418240000003</c:v>
                </c:pt>
                <c:pt idx="11">
                  <c:v>0.85899345920000025</c:v>
                </c:pt>
                <c:pt idx="12">
                  <c:v>0.68719476736000018</c:v>
                </c:pt>
                <c:pt idx="13">
                  <c:v>0.5497558138880001</c:v>
                </c:pt>
                <c:pt idx="14">
                  <c:v>0.43980465111040007</c:v>
                </c:pt>
                <c:pt idx="15">
                  <c:v>0.35184372088832006</c:v>
                </c:pt>
                <c:pt idx="16">
                  <c:v>0.28147497671065602</c:v>
                </c:pt>
                <c:pt idx="17">
                  <c:v>0.22517998136852482</c:v>
                </c:pt>
                <c:pt idx="18">
                  <c:v>0.18014398509481985</c:v>
                </c:pt>
                <c:pt idx="19">
                  <c:v>0.14411518807585588</c:v>
                </c:pt>
                <c:pt idx="20">
                  <c:v>0.11529215046068471</c:v>
                </c:pt>
                <c:pt idx="21">
                  <c:v>9.2233720368547767E-2</c:v>
                </c:pt>
                <c:pt idx="22">
                  <c:v>7.3786976294838214E-2</c:v>
                </c:pt>
                <c:pt idx="23">
                  <c:v>5.9029581035870568E-2</c:v>
                </c:pt>
                <c:pt idx="24">
                  <c:v>4.7223664828696457E-2</c:v>
                </c:pt>
                <c:pt idx="25">
                  <c:v>3.7778931862957166E-2</c:v>
                </c:pt>
                <c:pt idx="26">
                  <c:v>3.0223145490365734E-2</c:v>
                </c:pt>
                <c:pt idx="27">
                  <c:v>2.4178516392292588E-2</c:v>
                </c:pt>
                <c:pt idx="28">
                  <c:v>1.9342813113834071E-2</c:v>
                </c:pt>
                <c:pt idx="29">
                  <c:v>1.5474250491067256E-2</c:v>
                </c:pt>
                <c:pt idx="30">
                  <c:v>1.2379400392853806E-2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D0-4F1B-A0D6-4DA0DC7E9D32}"/>
            </c:ext>
          </c:extLst>
        </c:ser>
        <c:ser>
          <c:idx val="2"/>
          <c:order val="2"/>
          <c:tx>
            <c:v>f(x_k)</c:v>
          </c:tx>
          <c:cat>
            <c:numRef>
              <c:f>'GD 실습'!$A$13:$A$43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실습'!$D$13:$D$43</c:f>
              <c:numCache>
                <c:formatCode>0.000000</c:formatCode>
                <c:ptCount val="31"/>
                <c:pt idx="0">
                  <c:v>26</c:v>
                </c:pt>
                <c:pt idx="1">
                  <c:v>17</c:v>
                </c:pt>
                <c:pt idx="2">
                  <c:v>11.240000000000002</c:v>
                </c:pt>
                <c:pt idx="3">
                  <c:v>7.5536000000000003</c:v>
                </c:pt>
                <c:pt idx="4">
                  <c:v>5.1943039999999998</c:v>
                </c:pt>
                <c:pt idx="5">
                  <c:v>3.6843545600000001</c:v>
                </c:pt>
                <c:pt idx="6">
                  <c:v>2.7179869184000003</c:v>
                </c:pt>
                <c:pt idx="7">
                  <c:v>2.0995116277760006</c:v>
                </c:pt>
                <c:pt idx="8">
                  <c:v>1.7036874417766403</c:v>
                </c:pt>
                <c:pt idx="9">
                  <c:v>1.4503599627370498</c:v>
                </c:pt>
                <c:pt idx="10">
                  <c:v>1.288230376151712</c:v>
                </c:pt>
                <c:pt idx="11">
                  <c:v>1.1844674407370956</c:v>
                </c:pt>
                <c:pt idx="12">
                  <c:v>1.1180591620717413</c:v>
                </c:pt>
                <c:pt idx="13">
                  <c:v>1.0755578637259144</c:v>
                </c:pt>
                <c:pt idx="14">
                  <c:v>1.0483570327845853</c:v>
                </c:pt>
                <c:pt idx="15">
                  <c:v>1.0309485009821344</c:v>
                </c:pt>
                <c:pt idx="16">
                  <c:v>1.019807040628566</c:v>
                </c:pt>
                <c:pt idx="17">
                  <c:v>1.0126765060022822</c:v>
                </c:pt>
                <c:pt idx="18">
                  <c:v>1.0081129638414608</c:v>
                </c:pt>
                <c:pt idx="19">
                  <c:v>1.0051922968585347</c:v>
                </c:pt>
                <c:pt idx="20">
                  <c:v>1.0033230699894622</c:v>
                </c:pt>
                <c:pt idx="21">
                  <c:v>1.0021267647932559</c:v>
                </c:pt>
                <c:pt idx="22">
                  <c:v>1.0013611294676839</c:v>
                </c:pt>
                <c:pt idx="23">
                  <c:v>1.0008711228593177</c:v>
                </c:pt>
                <c:pt idx="24">
                  <c:v>1.0005575186299633</c:v>
                </c:pt>
                <c:pt idx="25">
                  <c:v>1.0003568119231765</c:v>
                </c:pt>
                <c:pt idx="26">
                  <c:v>1.000228359630833</c:v>
                </c:pt>
                <c:pt idx="27">
                  <c:v>1.000146150163733</c:v>
                </c:pt>
                <c:pt idx="28">
                  <c:v>1.0000935361047891</c:v>
                </c:pt>
                <c:pt idx="29">
                  <c:v>1.0000598631070652</c:v>
                </c:pt>
                <c:pt idx="30">
                  <c:v>1.0000383123885217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D0-4F1B-A0D6-4DA0DC7E9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변화량 </a:t>
            </a:r>
            <a:r>
              <a:rPr lang="en-US" altLang="ko-KR"/>
              <a:t>|</a:t>
            </a:r>
            <a:r>
              <a:rPr lang="el-GR"/>
              <a:t>Δ</a:t>
            </a:r>
            <a:r>
              <a:rPr lang="en-US"/>
              <a:t>x| </a:t>
            </a:r>
            <a:r>
              <a:rPr lang="ko-KR" altLang="en-US"/>
              <a:t>확인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'GD 실습'!$B$12</c:f>
              <c:strCache>
                <c:ptCount val="1"/>
                <c:pt idx="0">
                  <c:v>x_k</c:v>
                </c:pt>
              </c:strCache>
            </c:strRef>
          </c:tx>
          <c:cat>
            <c:numRef>
              <c:f>'GD 실습'!$A$13:$A$43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실습'!$B$13:$B$43</c:f>
              <c:numCache>
                <c:formatCode>0.000000</c:formatCode>
                <c:ptCount val="31"/>
                <c:pt idx="0">
                  <c:v>5</c:v>
                </c:pt>
                <c:pt idx="1">
                  <c:v>4</c:v>
                </c:pt>
                <c:pt idx="2">
                  <c:v>3.2</c:v>
                </c:pt>
                <c:pt idx="3">
                  <c:v>2.56</c:v>
                </c:pt>
                <c:pt idx="4">
                  <c:v>2.048</c:v>
                </c:pt>
                <c:pt idx="5">
                  <c:v>1.6384000000000001</c:v>
                </c:pt>
                <c:pt idx="6">
                  <c:v>1.3107200000000001</c:v>
                </c:pt>
                <c:pt idx="7">
                  <c:v>1.0485760000000002</c:v>
                </c:pt>
                <c:pt idx="8">
                  <c:v>0.83886080000000018</c:v>
                </c:pt>
                <c:pt idx="9">
                  <c:v>0.67108864000000013</c:v>
                </c:pt>
                <c:pt idx="10">
                  <c:v>0.53687091200000014</c:v>
                </c:pt>
                <c:pt idx="11">
                  <c:v>0.42949672960000013</c:v>
                </c:pt>
                <c:pt idx="12">
                  <c:v>0.34359738368000009</c:v>
                </c:pt>
                <c:pt idx="13">
                  <c:v>0.27487790694400005</c:v>
                </c:pt>
                <c:pt idx="14">
                  <c:v>0.21990232555520003</c:v>
                </c:pt>
                <c:pt idx="15">
                  <c:v>0.17592186044416003</c:v>
                </c:pt>
                <c:pt idx="16">
                  <c:v>0.14073748835532801</c:v>
                </c:pt>
                <c:pt idx="17">
                  <c:v>0.11258999068426241</c:v>
                </c:pt>
                <c:pt idx="18">
                  <c:v>9.0071992547409926E-2</c:v>
                </c:pt>
                <c:pt idx="19">
                  <c:v>7.2057594037927941E-2</c:v>
                </c:pt>
                <c:pt idx="20">
                  <c:v>5.7646075230342354E-2</c:v>
                </c:pt>
                <c:pt idx="21">
                  <c:v>4.6116860184273883E-2</c:v>
                </c:pt>
                <c:pt idx="22">
                  <c:v>3.6893488147419107E-2</c:v>
                </c:pt>
                <c:pt idx="23">
                  <c:v>2.9514790517935284E-2</c:v>
                </c:pt>
                <c:pt idx="24">
                  <c:v>2.3611832414348229E-2</c:v>
                </c:pt>
                <c:pt idx="25">
                  <c:v>1.8889465931478583E-2</c:v>
                </c:pt>
                <c:pt idx="26">
                  <c:v>1.5111572745182867E-2</c:v>
                </c:pt>
                <c:pt idx="27">
                  <c:v>1.2089258196146294E-2</c:v>
                </c:pt>
                <c:pt idx="28">
                  <c:v>9.6714065569170355E-3</c:v>
                </c:pt>
                <c:pt idx="29">
                  <c:v>7.7371252455336282E-3</c:v>
                </c:pt>
                <c:pt idx="30">
                  <c:v>6.1897001964269028E-3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A6-40DF-915F-008955EAD3A8}"/>
            </c:ext>
          </c:extLst>
        </c:ser>
        <c:ser>
          <c:idx val="1"/>
          <c:order val="1"/>
          <c:tx>
            <c:strRef>
              <c:f>'GD 실습'!$C$12</c:f>
              <c:strCache>
                <c:ptCount val="1"/>
                <c:pt idx="0">
                  <c:v>gradient 2x_k</c:v>
                </c:pt>
              </c:strCache>
            </c:strRef>
          </c:tx>
          <c:cat>
            <c:numRef>
              <c:f>'GD 실습'!$A$13:$A$43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실습'!$C$13:$C$43</c:f>
              <c:numCache>
                <c:formatCode>0.000000</c:formatCode>
                <c:ptCount val="31"/>
                <c:pt idx="0">
                  <c:v>10</c:v>
                </c:pt>
                <c:pt idx="1">
                  <c:v>8</c:v>
                </c:pt>
                <c:pt idx="2">
                  <c:v>6.4</c:v>
                </c:pt>
                <c:pt idx="3">
                  <c:v>5.12</c:v>
                </c:pt>
                <c:pt idx="4">
                  <c:v>4.0960000000000001</c:v>
                </c:pt>
                <c:pt idx="5">
                  <c:v>3.2768000000000002</c:v>
                </c:pt>
                <c:pt idx="6">
                  <c:v>2.6214400000000002</c:v>
                </c:pt>
                <c:pt idx="7">
                  <c:v>2.0971520000000003</c:v>
                </c:pt>
                <c:pt idx="8">
                  <c:v>1.6777216000000004</c:v>
                </c:pt>
                <c:pt idx="9">
                  <c:v>1.3421772800000003</c:v>
                </c:pt>
                <c:pt idx="10">
                  <c:v>1.0737418240000003</c:v>
                </c:pt>
                <c:pt idx="11">
                  <c:v>0.85899345920000025</c:v>
                </c:pt>
                <c:pt idx="12">
                  <c:v>0.68719476736000018</c:v>
                </c:pt>
                <c:pt idx="13">
                  <c:v>0.5497558138880001</c:v>
                </c:pt>
                <c:pt idx="14">
                  <c:v>0.43980465111040007</c:v>
                </c:pt>
                <c:pt idx="15">
                  <c:v>0.35184372088832006</c:v>
                </c:pt>
                <c:pt idx="16">
                  <c:v>0.28147497671065602</c:v>
                </c:pt>
                <c:pt idx="17">
                  <c:v>0.22517998136852482</c:v>
                </c:pt>
                <c:pt idx="18">
                  <c:v>0.18014398509481985</c:v>
                </c:pt>
                <c:pt idx="19">
                  <c:v>0.14411518807585588</c:v>
                </c:pt>
                <c:pt idx="20">
                  <c:v>0.11529215046068471</c:v>
                </c:pt>
                <c:pt idx="21">
                  <c:v>9.2233720368547767E-2</c:v>
                </c:pt>
                <c:pt idx="22">
                  <c:v>7.3786976294838214E-2</c:v>
                </c:pt>
                <c:pt idx="23">
                  <c:v>5.9029581035870568E-2</c:v>
                </c:pt>
                <c:pt idx="24">
                  <c:v>4.7223664828696457E-2</c:v>
                </c:pt>
                <c:pt idx="25">
                  <c:v>3.7778931862957166E-2</c:v>
                </c:pt>
                <c:pt idx="26">
                  <c:v>3.0223145490365734E-2</c:v>
                </c:pt>
                <c:pt idx="27">
                  <c:v>2.4178516392292588E-2</c:v>
                </c:pt>
                <c:pt idx="28">
                  <c:v>1.9342813113834071E-2</c:v>
                </c:pt>
                <c:pt idx="29">
                  <c:v>1.5474250491067256E-2</c:v>
                </c:pt>
                <c:pt idx="30">
                  <c:v>1.2379400392853806E-2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A6-40DF-915F-008955EAD3A8}"/>
            </c:ext>
          </c:extLst>
        </c:ser>
        <c:ser>
          <c:idx val="2"/>
          <c:order val="2"/>
          <c:tx>
            <c:strRef>
              <c:f>'GD 실습'!$D$12</c:f>
              <c:strCache>
                <c:ptCount val="1"/>
                <c:pt idx="0">
                  <c:v>f(x_k)</c:v>
                </c:pt>
              </c:strCache>
            </c:strRef>
          </c:tx>
          <c:cat>
            <c:numRef>
              <c:f>'GD 실습'!$A$13:$A$43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실습'!$D$13:$D$43</c:f>
              <c:numCache>
                <c:formatCode>0.000000</c:formatCode>
                <c:ptCount val="31"/>
                <c:pt idx="0">
                  <c:v>26</c:v>
                </c:pt>
                <c:pt idx="1">
                  <c:v>17</c:v>
                </c:pt>
                <c:pt idx="2">
                  <c:v>11.240000000000002</c:v>
                </c:pt>
                <c:pt idx="3">
                  <c:v>7.5536000000000003</c:v>
                </c:pt>
                <c:pt idx="4">
                  <c:v>5.1943039999999998</c:v>
                </c:pt>
                <c:pt idx="5">
                  <c:v>3.6843545600000001</c:v>
                </c:pt>
                <c:pt idx="6">
                  <c:v>2.7179869184000003</c:v>
                </c:pt>
                <c:pt idx="7">
                  <c:v>2.0995116277760006</c:v>
                </c:pt>
                <c:pt idx="8">
                  <c:v>1.7036874417766403</c:v>
                </c:pt>
                <c:pt idx="9">
                  <c:v>1.4503599627370498</c:v>
                </c:pt>
                <c:pt idx="10">
                  <c:v>1.288230376151712</c:v>
                </c:pt>
                <c:pt idx="11">
                  <c:v>1.1844674407370956</c:v>
                </c:pt>
                <c:pt idx="12">
                  <c:v>1.1180591620717413</c:v>
                </c:pt>
                <c:pt idx="13">
                  <c:v>1.0755578637259144</c:v>
                </c:pt>
                <c:pt idx="14">
                  <c:v>1.0483570327845853</c:v>
                </c:pt>
                <c:pt idx="15">
                  <c:v>1.0309485009821344</c:v>
                </c:pt>
                <c:pt idx="16">
                  <c:v>1.019807040628566</c:v>
                </c:pt>
                <c:pt idx="17">
                  <c:v>1.0126765060022822</c:v>
                </c:pt>
                <c:pt idx="18">
                  <c:v>1.0081129638414608</c:v>
                </c:pt>
                <c:pt idx="19">
                  <c:v>1.0051922968585347</c:v>
                </c:pt>
                <c:pt idx="20">
                  <c:v>1.0033230699894622</c:v>
                </c:pt>
                <c:pt idx="21">
                  <c:v>1.0021267647932559</c:v>
                </c:pt>
                <c:pt idx="22">
                  <c:v>1.0013611294676839</c:v>
                </c:pt>
                <c:pt idx="23">
                  <c:v>1.0008711228593177</c:v>
                </c:pt>
                <c:pt idx="24">
                  <c:v>1.0005575186299633</c:v>
                </c:pt>
                <c:pt idx="25">
                  <c:v>1.0003568119231765</c:v>
                </c:pt>
                <c:pt idx="26">
                  <c:v>1.000228359630833</c:v>
                </c:pt>
                <c:pt idx="27">
                  <c:v>1.000146150163733</c:v>
                </c:pt>
                <c:pt idx="28">
                  <c:v>1.0000935361047891</c:v>
                </c:pt>
                <c:pt idx="29">
                  <c:v>1.0000598631070652</c:v>
                </c:pt>
                <c:pt idx="30">
                  <c:v>1.0000383123885217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A6-40DF-915F-008955EAD3A8}"/>
            </c:ext>
          </c:extLst>
        </c:ser>
        <c:ser>
          <c:idx val="3"/>
          <c:order val="3"/>
          <c:tx>
            <c:strRef>
              <c:f>'GD 실습'!$E$12</c:f>
              <c:strCache>
                <c:ptCount val="1"/>
                <c:pt idx="0">
                  <c:v>x_{k+1}=x_k-α·2x_k</c:v>
                </c:pt>
              </c:strCache>
            </c:strRef>
          </c:tx>
          <c:cat>
            <c:numRef>
              <c:f>'GD 실습'!$A$13:$A$43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실습'!$E$13:$E$43</c:f>
              <c:numCache>
                <c:formatCode>0.000000</c:formatCode>
                <c:ptCount val="31"/>
                <c:pt idx="0">
                  <c:v>4</c:v>
                </c:pt>
                <c:pt idx="1">
                  <c:v>3.2</c:v>
                </c:pt>
                <c:pt idx="2">
                  <c:v>2.56</c:v>
                </c:pt>
                <c:pt idx="3">
                  <c:v>2.048</c:v>
                </c:pt>
                <c:pt idx="4">
                  <c:v>1.6384000000000001</c:v>
                </c:pt>
                <c:pt idx="5">
                  <c:v>1.3107200000000001</c:v>
                </c:pt>
                <c:pt idx="6">
                  <c:v>1.0485760000000002</c:v>
                </c:pt>
                <c:pt idx="7">
                  <c:v>0.83886080000000018</c:v>
                </c:pt>
                <c:pt idx="8">
                  <c:v>0.67108864000000013</c:v>
                </c:pt>
                <c:pt idx="9">
                  <c:v>0.53687091200000014</c:v>
                </c:pt>
                <c:pt idx="10">
                  <c:v>0.42949672960000013</c:v>
                </c:pt>
                <c:pt idx="11">
                  <c:v>0.34359738368000009</c:v>
                </c:pt>
                <c:pt idx="12">
                  <c:v>0.27487790694400005</c:v>
                </c:pt>
                <c:pt idx="13">
                  <c:v>0.21990232555520003</c:v>
                </c:pt>
                <c:pt idx="14">
                  <c:v>0.17592186044416003</c:v>
                </c:pt>
                <c:pt idx="15">
                  <c:v>0.14073748835532801</c:v>
                </c:pt>
                <c:pt idx="16">
                  <c:v>0.11258999068426241</c:v>
                </c:pt>
                <c:pt idx="17">
                  <c:v>9.0071992547409926E-2</c:v>
                </c:pt>
                <c:pt idx="18">
                  <c:v>7.2057594037927941E-2</c:v>
                </c:pt>
                <c:pt idx="19">
                  <c:v>5.7646075230342354E-2</c:v>
                </c:pt>
                <c:pt idx="20">
                  <c:v>4.6116860184273883E-2</c:v>
                </c:pt>
                <c:pt idx="21">
                  <c:v>3.6893488147419107E-2</c:v>
                </c:pt>
                <c:pt idx="22">
                  <c:v>2.9514790517935284E-2</c:v>
                </c:pt>
                <c:pt idx="23">
                  <c:v>2.3611832414348229E-2</c:v>
                </c:pt>
                <c:pt idx="24">
                  <c:v>1.8889465931478583E-2</c:v>
                </c:pt>
                <c:pt idx="25">
                  <c:v>1.5111572745182867E-2</c:v>
                </c:pt>
                <c:pt idx="26">
                  <c:v>1.2089258196146294E-2</c:v>
                </c:pt>
                <c:pt idx="27">
                  <c:v>9.6714065569170355E-3</c:v>
                </c:pt>
                <c:pt idx="28">
                  <c:v>7.7371252455336282E-3</c:v>
                </c:pt>
                <c:pt idx="29">
                  <c:v>6.1897001964269028E-3</c:v>
                </c:pt>
                <c:pt idx="30">
                  <c:v>4.9517601571415224E-3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A6-40DF-915F-008955EAD3A8}"/>
            </c:ext>
          </c:extLst>
        </c:ser>
        <c:ser>
          <c:idx val="4"/>
          <c:order val="4"/>
          <c:tx>
            <c:strRef>
              <c:f>'GD 실습'!$F$12</c:f>
              <c:strCache>
                <c:ptCount val="1"/>
                <c:pt idx="0">
                  <c:v>변화량 Δx</c:v>
                </c:pt>
              </c:strCache>
            </c:strRef>
          </c:tx>
          <c:cat>
            <c:numRef>
              <c:f>'GD 실습'!$A$13:$A$43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실습'!$F$13:$F$43</c:f>
              <c:numCache>
                <c:formatCode>0.000000</c:formatCode>
                <c:ptCount val="31"/>
                <c:pt idx="0">
                  <c:v>-1</c:v>
                </c:pt>
                <c:pt idx="1">
                  <c:v>-0.79999999999999982</c:v>
                </c:pt>
                <c:pt idx="2">
                  <c:v>-0.64000000000000012</c:v>
                </c:pt>
                <c:pt idx="3">
                  <c:v>-0.51200000000000001</c:v>
                </c:pt>
                <c:pt idx="4">
                  <c:v>-0.40959999999999996</c:v>
                </c:pt>
                <c:pt idx="5">
                  <c:v>-0.32767999999999997</c:v>
                </c:pt>
                <c:pt idx="6">
                  <c:v>-0.26214399999999993</c:v>
                </c:pt>
                <c:pt idx="7">
                  <c:v>-0.20971519999999999</c:v>
                </c:pt>
                <c:pt idx="8">
                  <c:v>-0.16777216000000006</c:v>
                </c:pt>
                <c:pt idx="9">
                  <c:v>-0.13421772799999998</c:v>
                </c:pt>
                <c:pt idx="10">
                  <c:v>-0.10737418240000002</c:v>
                </c:pt>
                <c:pt idx="11">
                  <c:v>-8.5899345920000036E-2</c:v>
                </c:pt>
                <c:pt idx="12">
                  <c:v>-6.871947673600004E-2</c:v>
                </c:pt>
                <c:pt idx="13">
                  <c:v>-5.4975581388800016E-2</c:v>
                </c:pt>
                <c:pt idx="14">
                  <c:v>-4.3980465111040007E-2</c:v>
                </c:pt>
                <c:pt idx="15">
                  <c:v>-3.5184372088832017E-2</c:v>
                </c:pt>
                <c:pt idx="16">
                  <c:v>-2.8147497671065599E-2</c:v>
                </c:pt>
                <c:pt idx="17">
                  <c:v>-2.2517998136852485E-2</c:v>
                </c:pt>
                <c:pt idx="18">
                  <c:v>-1.8014398509481985E-2</c:v>
                </c:pt>
                <c:pt idx="19">
                  <c:v>-1.4411518807585587E-2</c:v>
                </c:pt>
                <c:pt idx="20">
                  <c:v>-1.1529215046068471E-2</c:v>
                </c:pt>
                <c:pt idx="21">
                  <c:v>-9.2233720368547767E-3</c:v>
                </c:pt>
                <c:pt idx="22">
                  <c:v>-7.3786976294838227E-3</c:v>
                </c:pt>
                <c:pt idx="23">
                  <c:v>-5.9029581035870554E-3</c:v>
                </c:pt>
                <c:pt idx="24">
                  <c:v>-4.7223664828696457E-3</c:v>
                </c:pt>
                <c:pt idx="25">
                  <c:v>-3.7778931862957159E-3</c:v>
                </c:pt>
                <c:pt idx="26">
                  <c:v>-3.0223145490365731E-3</c:v>
                </c:pt>
                <c:pt idx="27">
                  <c:v>-2.4178516392292584E-3</c:v>
                </c:pt>
                <c:pt idx="28">
                  <c:v>-1.9342813113834073E-3</c:v>
                </c:pt>
                <c:pt idx="29">
                  <c:v>-1.5474250491067255E-3</c:v>
                </c:pt>
                <c:pt idx="30">
                  <c:v>-1.2379400392853804E-3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A6-40DF-915F-008955EAD3A8}"/>
            </c:ext>
          </c:extLst>
        </c:ser>
        <c:ser>
          <c:idx val="5"/>
          <c:order val="5"/>
          <c:tx>
            <c:strRef>
              <c:f>'GD 실습'!$G$12</c:f>
              <c:strCache>
                <c:ptCount val="1"/>
                <c:pt idx="0">
                  <c:v>x* - x_k</c:v>
                </c:pt>
              </c:strCache>
            </c:strRef>
          </c:tx>
          <c:cat>
            <c:numRef>
              <c:f>'GD 실습'!$A$13:$A$43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실습'!$G$13:$G$43</c:f>
              <c:numCache>
                <c:formatCode>0.000000</c:formatCode>
                <c:ptCount val="31"/>
                <c:pt idx="0">
                  <c:v>-5</c:v>
                </c:pt>
                <c:pt idx="1">
                  <c:v>-4</c:v>
                </c:pt>
                <c:pt idx="2">
                  <c:v>-3.2</c:v>
                </c:pt>
                <c:pt idx="3">
                  <c:v>-2.56</c:v>
                </c:pt>
                <c:pt idx="4">
                  <c:v>-2.048</c:v>
                </c:pt>
                <c:pt idx="5">
                  <c:v>-1.6384000000000001</c:v>
                </c:pt>
                <c:pt idx="6">
                  <c:v>-1.3107200000000001</c:v>
                </c:pt>
                <c:pt idx="7">
                  <c:v>-1.0485760000000002</c:v>
                </c:pt>
                <c:pt idx="8">
                  <c:v>-0.83886080000000018</c:v>
                </c:pt>
                <c:pt idx="9">
                  <c:v>-0.67108864000000013</c:v>
                </c:pt>
                <c:pt idx="10">
                  <c:v>-0.53687091200000014</c:v>
                </c:pt>
                <c:pt idx="11">
                  <c:v>-0.42949672960000013</c:v>
                </c:pt>
                <c:pt idx="12">
                  <c:v>-0.34359738368000009</c:v>
                </c:pt>
                <c:pt idx="13">
                  <c:v>-0.27487790694400005</c:v>
                </c:pt>
                <c:pt idx="14">
                  <c:v>-0.21990232555520003</c:v>
                </c:pt>
                <c:pt idx="15">
                  <c:v>-0.17592186044416003</c:v>
                </c:pt>
                <c:pt idx="16">
                  <c:v>-0.14073748835532801</c:v>
                </c:pt>
                <c:pt idx="17">
                  <c:v>-0.11258999068426241</c:v>
                </c:pt>
                <c:pt idx="18">
                  <c:v>-9.0071992547409926E-2</c:v>
                </c:pt>
                <c:pt idx="19">
                  <c:v>-7.2057594037927941E-2</c:v>
                </c:pt>
                <c:pt idx="20">
                  <c:v>-5.7646075230342354E-2</c:v>
                </c:pt>
                <c:pt idx="21">
                  <c:v>-4.6116860184273883E-2</c:v>
                </c:pt>
                <c:pt idx="22">
                  <c:v>-3.6893488147419107E-2</c:v>
                </c:pt>
                <c:pt idx="23">
                  <c:v>-2.9514790517935284E-2</c:v>
                </c:pt>
                <c:pt idx="24">
                  <c:v>-2.3611832414348229E-2</c:v>
                </c:pt>
                <c:pt idx="25">
                  <c:v>-1.8889465931478583E-2</c:v>
                </c:pt>
                <c:pt idx="26">
                  <c:v>-1.5111572745182867E-2</c:v>
                </c:pt>
                <c:pt idx="27">
                  <c:v>-1.2089258196146294E-2</c:v>
                </c:pt>
                <c:pt idx="28">
                  <c:v>-9.6714065569170355E-3</c:v>
                </c:pt>
                <c:pt idx="29">
                  <c:v>-7.7371252455336282E-3</c:v>
                </c:pt>
                <c:pt idx="30">
                  <c:v>-6.1897001964269028E-3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A6-40DF-915F-008955EAD3A8}"/>
            </c:ext>
          </c:extLst>
        </c:ser>
        <c:ser>
          <c:idx val="6"/>
          <c:order val="6"/>
          <c:tx>
            <c:strRef>
              <c:f>'GD 실습'!$H$12</c:f>
              <c:strCache>
                <c:ptCount val="1"/>
                <c:pt idx="0">
                  <c:v>|Δx|</c:v>
                </c:pt>
              </c:strCache>
            </c:strRef>
          </c:tx>
          <c:cat>
            <c:numRef>
              <c:f>'GD 실습'!$A$13:$A$43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실습'!$H$13:$H$43</c:f>
              <c:numCache>
                <c:formatCode>0.000000</c:formatCode>
                <c:ptCount val="31"/>
                <c:pt idx="0">
                  <c:v>1</c:v>
                </c:pt>
                <c:pt idx="1">
                  <c:v>0.79999999999999982</c:v>
                </c:pt>
                <c:pt idx="2">
                  <c:v>0.64000000000000012</c:v>
                </c:pt>
                <c:pt idx="3">
                  <c:v>0.51200000000000001</c:v>
                </c:pt>
                <c:pt idx="4">
                  <c:v>0.40959999999999996</c:v>
                </c:pt>
                <c:pt idx="5">
                  <c:v>0.32767999999999997</c:v>
                </c:pt>
                <c:pt idx="6">
                  <c:v>0.26214399999999993</c:v>
                </c:pt>
                <c:pt idx="7">
                  <c:v>0.20971519999999999</c:v>
                </c:pt>
                <c:pt idx="8">
                  <c:v>0.16777216000000006</c:v>
                </c:pt>
                <c:pt idx="9">
                  <c:v>0.13421772799999998</c:v>
                </c:pt>
                <c:pt idx="10">
                  <c:v>0.10737418240000002</c:v>
                </c:pt>
                <c:pt idx="11">
                  <c:v>8.5899345920000036E-2</c:v>
                </c:pt>
                <c:pt idx="12">
                  <c:v>6.871947673600004E-2</c:v>
                </c:pt>
                <c:pt idx="13">
                  <c:v>5.4975581388800016E-2</c:v>
                </c:pt>
                <c:pt idx="14">
                  <c:v>4.3980465111040007E-2</c:v>
                </c:pt>
                <c:pt idx="15">
                  <c:v>3.5184372088832017E-2</c:v>
                </c:pt>
                <c:pt idx="16">
                  <c:v>2.8147497671065599E-2</c:v>
                </c:pt>
                <c:pt idx="17">
                  <c:v>2.2517998136852485E-2</c:v>
                </c:pt>
                <c:pt idx="18">
                  <c:v>1.8014398509481985E-2</c:v>
                </c:pt>
                <c:pt idx="19">
                  <c:v>1.4411518807585587E-2</c:v>
                </c:pt>
                <c:pt idx="20">
                  <c:v>1.1529215046068471E-2</c:v>
                </c:pt>
                <c:pt idx="21">
                  <c:v>9.2233720368547767E-3</c:v>
                </c:pt>
                <c:pt idx="22">
                  <c:v>7.3786976294838227E-3</c:v>
                </c:pt>
                <c:pt idx="23">
                  <c:v>5.9029581035870554E-3</c:v>
                </c:pt>
                <c:pt idx="24">
                  <c:v>4.7223664828696457E-3</c:v>
                </c:pt>
                <c:pt idx="25">
                  <c:v>3.7778931862957159E-3</c:v>
                </c:pt>
                <c:pt idx="26">
                  <c:v>3.0223145490365731E-3</c:v>
                </c:pt>
                <c:pt idx="27">
                  <c:v>2.4178516392292584E-3</c:v>
                </c:pt>
                <c:pt idx="28">
                  <c:v>1.9342813113834073E-3</c:v>
                </c:pt>
                <c:pt idx="29">
                  <c:v>1.5474250491067255E-3</c:v>
                </c:pt>
                <c:pt idx="30">
                  <c:v>1.2379400392853804E-3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A6-40DF-915F-008955EAD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학습률에 따른 </a:t>
            </a:r>
            <a:r>
              <a:rPr lang="en-US"/>
              <a:t>x_k </a:t>
            </a:r>
            <a:r>
              <a:rPr lang="ko-KR" altLang="en-US"/>
              <a:t>수렴 비교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cat>
            <c:numRef>
              <c:f>'학습률 비교'!$A$11:$A$36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비교'!$B$11:$B$36</c:f>
              <c:numCache>
                <c:formatCode>0.00</c:formatCode>
                <c:ptCount val="26"/>
                <c:pt idx="0">
                  <c:v>5</c:v>
                </c:pt>
                <c:pt idx="1">
                  <c:v>4.9000000000000004</c:v>
                </c:pt>
                <c:pt idx="2">
                  <c:v>4.8020000000000005</c:v>
                </c:pt>
                <c:pt idx="3">
                  <c:v>4.7059600000000001</c:v>
                </c:pt>
                <c:pt idx="4">
                  <c:v>4.6118408000000004</c:v>
                </c:pt>
                <c:pt idx="5">
                  <c:v>4.5196039840000006</c:v>
                </c:pt>
                <c:pt idx="6">
                  <c:v>4.4292119043200007</c:v>
                </c:pt>
                <c:pt idx="7">
                  <c:v>4.3406276662336003</c:v>
                </c:pt>
                <c:pt idx="8">
                  <c:v>4.2538151129089279</c:v>
                </c:pt>
                <c:pt idx="9">
                  <c:v>4.1687388106507495</c:v>
                </c:pt>
                <c:pt idx="10">
                  <c:v>4.0853640344377347</c:v>
                </c:pt>
                <c:pt idx="11">
                  <c:v>4.00365675374898</c:v>
                </c:pt>
                <c:pt idx="12">
                  <c:v>3.9235836186740003</c:v>
                </c:pt>
                <c:pt idx="13">
                  <c:v>3.8451119463005203</c:v>
                </c:pt>
                <c:pt idx="14">
                  <c:v>3.7682097073745098</c:v>
                </c:pt>
                <c:pt idx="15">
                  <c:v>3.6928455132270197</c:v>
                </c:pt>
                <c:pt idx="16">
                  <c:v>3.6189886029624794</c:v>
                </c:pt>
                <c:pt idx="17">
                  <c:v>3.5466088309032298</c:v>
                </c:pt>
                <c:pt idx="18">
                  <c:v>3.4756766542851651</c:v>
                </c:pt>
                <c:pt idx="19">
                  <c:v>3.4061631211994619</c:v>
                </c:pt>
                <c:pt idx="20">
                  <c:v>3.3380398587754727</c:v>
                </c:pt>
                <c:pt idx="21">
                  <c:v>3.2712790615999632</c:v>
                </c:pt>
                <c:pt idx="22">
                  <c:v>3.2058534803679639</c:v>
                </c:pt>
                <c:pt idx="23">
                  <c:v>3.1417364107606045</c:v>
                </c:pt>
                <c:pt idx="24">
                  <c:v>3.0789016825453923</c:v>
                </c:pt>
                <c:pt idx="25">
                  <c:v>3.0173236488944846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7-45F1-B79D-7BAB7D7B417D}"/>
            </c:ext>
          </c:extLst>
        </c:ser>
        <c:ser>
          <c:idx val="1"/>
          <c:order val="1"/>
          <c:cat>
            <c:numRef>
              <c:f>'학습률 비교'!$A$11:$A$36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비교'!$C$11:$C$36</c:f>
              <c:numCache>
                <c:formatCode>0.00</c:formatCode>
                <c:ptCount val="26"/>
                <c:pt idx="0">
                  <c:v>5</c:v>
                </c:pt>
                <c:pt idx="1">
                  <c:v>4.5</c:v>
                </c:pt>
                <c:pt idx="2">
                  <c:v>4.05</c:v>
                </c:pt>
                <c:pt idx="3">
                  <c:v>3.645</c:v>
                </c:pt>
                <c:pt idx="4">
                  <c:v>3.2805</c:v>
                </c:pt>
                <c:pt idx="5">
                  <c:v>2.9524500000000002</c:v>
                </c:pt>
                <c:pt idx="6">
                  <c:v>2.6572050000000003</c:v>
                </c:pt>
                <c:pt idx="7">
                  <c:v>2.3914845000000002</c:v>
                </c:pt>
                <c:pt idx="8">
                  <c:v>2.1523360500000002</c:v>
                </c:pt>
                <c:pt idx="9">
                  <c:v>1.9371024450000003</c:v>
                </c:pt>
                <c:pt idx="10">
                  <c:v>1.7433922005000002</c:v>
                </c:pt>
                <c:pt idx="11">
                  <c:v>1.5690529804500002</c:v>
                </c:pt>
                <c:pt idx="12">
                  <c:v>1.4121476824050001</c:v>
                </c:pt>
                <c:pt idx="13">
                  <c:v>1.2709329141645</c:v>
                </c:pt>
                <c:pt idx="14">
                  <c:v>1.1438396227480501</c:v>
                </c:pt>
                <c:pt idx="15">
                  <c:v>1.029455660473245</c:v>
                </c:pt>
                <c:pt idx="16">
                  <c:v>0.92651009442592047</c:v>
                </c:pt>
                <c:pt idx="17">
                  <c:v>0.83385908498332839</c:v>
                </c:pt>
                <c:pt idx="18">
                  <c:v>0.75047317648499556</c:v>
                </c:pt>
                <c:pt idx="19">
                  <c:v>0.67542585883649597</c:v>
                </c:pt>
                <c:pt idx="20">
                  <c:v>0.60788327295284639</c:v>
                </c:pt>
                <c:pt idx="21">
                  <c:v>0.54709494565756178</c:v>
                </c:pt>
                <c:pt idx="22">
                  <c:v>0.49238545109180559</c:v>
                </c:pt>
                <c:pt idx="23">
                  <c:v>0.44314690598262502</c:v>
                </c:pt>
                <c:pt idx="24">
                  <c:v>0.39883221538436253</c:v>
                </c:pt>
                <c:pt idx="25">
                  <c:v>0.35894899384592627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7-45F1-B79D-7BAB7D7B417D}"/>
            </c:ext>
          </c:extLst>
        </c:ser>
        <c:ser>
          <c:idx val="2"/>
          <c:order val="2"/>
          <c:cat>
            <c:numRef>
              <c:f>'학습률 비교'!$A$11:$A$36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비교'!$D$11:$D$36</c:f>
              <c:numCache>
                <c:formatCode>0.00</c:formatCode>
                <c:ptCount val="26"/>
                <c:pt idx="0">
                  <c:v>5</c:v>
                </c:pt>
                <c:pt idx="1">
                  <c:v>4</c:v>
                </c:pt>
                <c:pt idx="2">
                  <c:v>3.2</c:v>
                </c:pt>
                <c:pt idx="3">
                  <c:v>2.5600000000000005</c:v>
                </c:pt>
                <c:pt idx="4">
                  <c:v>2.0480000000000005</c:v>
                </c:pt>
                <c:pt idx="5">
                  <c:v>1.6384000000000005</c:v>
                </c:pt>
                <c:pt idx="6">
                  <c:v>1.3107200000000006</c:v>
                </c:pt>
                <c:pt idx="7">
                  <c:v>1.0485760000000004</c:v>
                </c:pt>
                <c:pt idx="8">
                  <c:v>0.83886080000000041</c:v>
                </c:pt>
                <c:pt idx="9">
                  <c:v>0.67108864000000035</c:v>
                </c:pt>
                <c:pt idx="10">
                  <c:v>0.53687091200000026</c:v>
                </c:pt>
                <c:pt idx="11">
                  <c:v>0.42949672960000024</c:v>
                </c:pt>
                <c:pt idx="12">
                  <c:v>0.3435973836800002</c:v>
                </c:pt>
                <c:pt idx="13">
                  <c:v>0.27487790694400016</c:v>
                </c:pt>
                <c:pt idx="14">
                  <c:v>0.21990232555520015</c:v>
                </c:pt>
                <c:pt idx="15">
                  <c:v>0.17592186044416014</c:v>
                </c:pt>
                <c:pt idx="16">
                  <c:v>0.14073748835532812</c:v>
                </c:pt>
                <c:pt idx="17">
                  <c:v>0.11258999068426251</c:v>
                </c:pt>
                <c:pt idx="18">
                  <c:v>9.007199254741001E-2</c:v>
                </c:pt>
                <c:pt idx="19">
                  <c:v>7.2057594037928011E-2</c:v>
                </c:pt>
                <c:pt idx="20">
                  <c:v>5.764607523034241E-2</c:v>
                </c:pt>
                <c:pt idx="21">
                  <c:v>4.6116860184273932E-2</c:v>
                </c:pt>
                <c:pt idx="22">
                  <c:v>3.6893488147419148E-2</c:v>
                </c:pt>
                <c:pt idx="23">
                  <c:v>2.9514790517935319E-2</c:v>
                </c:pt>
                <c:pt idx="24">
                  <c:v>2.3611832414348256E-2</c:v>
                </c:pt>
                <c:pt idx="25">
                  <c:v>1.8889465931478607E-2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B7-45F1-B79D-7BAB7D7B417D}"/>
            </c:ext>
          </c:extLst>
        </c:ser>
        <c:ser>
          <c:idx val="3"/>
          <c:order val="3"/>
          <c:cat>
            <c:numRef>
              <c:f>'학습률 비교'!$A$11:$A$36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비교'!$E$11:$E$36</c:f>
              <c:numCache>
                <c:formatCode>0.00</c:formatCode>
                <c:ptCount val="2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B7-45F1-B79D-7BAB7D7B417D}"/>
            </c:ext>
          </c:extLst>
        </c:ser>
        <c:ser>
          <c:idx val="4"/>
          <c:order val="4"/>
          <c:cat>
            <c:numRef>
              <c:f>'학습률 비교'!$A$11:$A$36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비교'!$F$11:$F$36</c:f>
              <c:numCache>
                <c:formatCode>0.00</c:formatCode>
                <c:ptCount val="26"/>
                <c:pt idx="0">
                  <c:v>5</c:v>
                </c:pt>
                <c:pt idx="1">
                  <c:v>-4</c:v>
                </c:pt>
                <c:pt idx="2">
                  <c:v>3.2</c:v>
                </c:pt>
                <c:pt idx="3">
                  <c:v>-2.5600000000000005</c:v>
                </c:pt>
                <c:pt idx="4">
                  <c:v>2.0480000000000005</c:v>
                </c:pt>
                <c:pt idx="5">
                  <c:v>-1.6384000000000005</c:v>
                </c:pt>
                <c:pt idx="6">
                  <c:v>1.3107200000000006</c:v>
                </c:pt>
                <c:pt idx="7">
                  <c:v>-1.0485760000000004</c:v>
                </c:pt>
                <c:pt idx="8">
                  <c:v>0.83886080000000041</c:v>
                </c:pt>
                <c:pt idx="9">
                  <c:v>-0.67108864000000035</c:v>
                </c:pt>
                <c:pt idx="10">
                  <c:v>0.53687091200000026</c:v>
                </c:pt>
                <c:pt idx="11">
                  <c:v>-0.42949672960000024</c:v>
                </c:pt>
                <c:pt idx="12">
                  <c:v>0.3435973836800002</c:v>
                </c:pt>
                <c:pt idx="13">
                  <c:v>-0.27487790694400016</c:v>
                </c:pt>
                <c:pt idx="14">
                  <c:v>0.21990232555520015</c:v>
                </c:pt>
                <c:pt idx="15">
                  <c:v>-0.17592186044416014</c:v>
                </c:pt>
                <c:pt idx="16">
                  <c:v>0.14073748835532812</c:v>
                </c:pt>
                <c:pt idx="17">
                  <c:v>-0.11258999068426251</c:v>
                </c:pt>
                <c:pt idx="18">
                  <c:v>9.007199254741001E-2</c:v>
                </c:pt>
                <c:pt idx="19">
                  <c:v>-7.2057594037928011E-2</c:v>
                </c:pt>
                <c:pt idx="20">
                  <c:v>5.764607523034241E-2</c:v>
                </c:pt>
                <c:pt idx="21">
                  <c:v>-4.6116860184273932E-2</c:v>
                </c:pt>
                <c:pt idx="22">
                  <c:v>3.6893488147419148E-2</c:v>
                </c:pt>
                <c:pt idx="23">
                  <c:v>-2.9514790517935319E-2</c:v>
                </c:pt>
                <c:pt idx="24">
                  <c:v>2.3611832414348256E-2</c:v>
                </c:pt>
                <c:pt idx="25">
                  <c:v>-1.8889465931478607E-2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B7-45F1-B79D-7BAB7D7B417D}"/>
            </c:ext>
          </c:extLst>
        </c:ser>
        <c:ser>
          <c:idx val="5"/>
          <c:order val="5"/>
          <c:cat>
            <c:numRef>
              <c:f>'학습률 비교'!$A$11:$A$36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비교'!$G$11:$G$36</c:f>
              <c:numCache>
                <c:formatCode>0.00</c:formatCode>
                <c:ptCount val="26"/>
                <c:pt idx="0">
                  <c:v>5</c:v>
                </c:pt>
                <c:pt idx="1">
                  <c:v>-5</c:v>
                </c:pt>
                <c:pt idx="2">
                  <c:v>5</c:v>
                </c:pt>
                <c:pt idx="3">
                  <c:v>-5</c:v>
                </c:pt>
                <c:pt idx="4">
                  <c:v>5</c:v>
                </c:pt>
                <c:pt idx="5">
                  <c:v>-5</c:v>
                </c:pt>
                <c:pt idx="6">
                  <c:v>5</c:v>
                </c:pt>
                <c:pt idx="7">
                  <c:v>-5</c:v>
                </c:pt>
                <c:pt idx="8">
                  <c:v>5</c:v>
                </c:pt>
                <c:pt idx="9">
                  <c:v>-5</c:v>
                </c:pt>
                <c:pt idx="10">
                  <c:v>5</c:v>
                </c:pt>
                <c:pt idx="11">
                  <c:v>-5</c:v>
                </c:pt>
                <c:pt idx="12">
                  <c:v>5</c:v>
                </c:pt>
                <c:pt idx="13">
                  <c:v>-5</c:v>
                </c:pt>
                <c:pt idx="14">
                  <c:v>5</c:v>
                </c:pt>
                <c:pt idx="15">
                  <c:v>-5</c:v>
                </c:pt>
                <c:pt idx="16">
                  <c:v>5</c:v>
                </c:pt>
                <c:pt idx="17">
                  <c:v>-5</c:v>
                </c:pt>
                <c:pt idx="18">
                  <c:v>5</c:v>
                </c:pt>
                <c:pt idx="19">
                  <c:v>-5</c:v>
                </c:pt>
                <c:pt idx="20">
                  <c:v>5</c:v>
                </c:pt>
                <c:pt idx="21">
                  <c:v>-5</c:v>
                </c:pt>
                <c:pt idx="22">
                  <c:v>5</c:v>
                </c:pt>
                <c:pt idx="23">
                  <c:v>-5</c:v>
                </c:pt>
                <c:pt idx="24">
                  <c:v>5</c:v>
                </c:pt>
                <c:pt idx="25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B7-45F1-B79D-7BAB7D7B417D}"/>
            </c:ext>
          </c:extLst>
        </c:ser>
        <c:ser>
          <c:idx val="6"/>
          <c:order val="6"/>
          <c:cat>
            <c:numRef>
              <c:f>'학습률 비교'!$A$11:$A$36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비교'!$H$11:$H$36</c:f>
              <c:numCache>
                <c:formatCode>0.00</c:formatCode>
                <c:ptCount val="26"/>
                <c:pt idx="0">
                  <c:v>5</c:v>
                </c:pt>
                <c:pt idx="1">
                  <c:v>-6.0000000000000009</c:v>
                </c:pt>
                <c:pt idx="2">
                  <c:v>7.200000000000002</c:v>
                </c:pt>
                <c:pt idx="3">
                  <c:v>-8.6400000000000041</c:v>
                </c:pt>
                <c:pt idx="4">
                  <c:v>10.368000000000006</c:v>
                </c:pt>
                <c:pt idx="5">
                  <c:v>-12.441600000000008</c:v>
                </c:pt>
                <c:pt idx="6">
                  <c:v>14.929920000000012</c:v>
                </c:pt>
                <c:pt idx="7">
                  <c:v>-17.915904000000015</c:v>
                </c:pt>
                <c:pt idx="8">
                  <c:v>21.49908480000002</c:v>
                </c:pt>
                <c:pt idx="9">
                  <c:v>-25.798901760000028</c:v>
                </c:pt>
                <c:pt idx="10">
                  <c:v>30.958682112000037</c:v>
                </c:pt>
                <c:pt idx="11">
                  <c:v>-37.150418534400053</c:v>
                </c:pt>
                <c:pt idx="12">
                  <c:v>44.580502241280072</c:v>
                </c:pt>
                <c:pt idx="13">
                  <c:v>-53.496602689536097</c:v>
                </c:pt>
                <c:pt idx="14">
                  <c:v>64.19592322744333</c:v>
                </c:pt>
                <c:pt idx="15">
                  <c:v>-77.035107872932002</c:v>
                </c:pt>
                <c:pt idx="16">
                  <c:v>92.442129447518411</c:v>
                </c:pt>
                <c:pt idx="17">
                  <c:v>-110.93055533702211</c:v>
                </c:pt>
                <c:pt idx="18">
                  <c:v>133.11666640442655</c:v>
                </c:pt>
                <c:pt idx="19">
                  <c:v>-159.73999968531189</c:v>
                </c:pt>
                <c:pt idx="20">
                  <c:v>191.68799962237429</c:v>
                </c:pt>
                <c:pt idx="21">
                  <c:v>-230.02559954684918</c:v>
                </c:pt>
                <c:pt idx="22">
                  <c:v>276.03071945621906</c:v>
                </c:pt>
                <c:pt idx="23">
                  <c:v>-331.23686334746293</c:v>
                </c:pt>
                <c:pt idx="24">
                  <c:v>397.48423601695555</c:v>
                </c:pt>
                <c:pt idx="25">
                  <c:v>-476.9810832203467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B7-45F1-B79D-7BAB7D7B4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학습률에 따른 </a:t>
            </a:r>
            <a:r>
              <a:rPr lang="en-US"/>
              <a:t>f(x_k) </a:t>
            </a:r>
            <a:r>
              <a:rPr lang="ko-KR" altLang="en-US"/>
              <a:t>비교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cat>
            <c:numRef>
              <c:f>'학습률 비교'!$J$11:$J$36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비교'!$K$11:$K$36</c:f>
              <c:numCache>
                <c:formatCode>0.000000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6-4808-BD04-9D57384EA354}"/>
            </c:ext>
          </c:extLst>
        </c:ser>
        <c:ser>
          <c:idx val="1"/>
          <c:order val="1"/>
          <c:cat>
            <c:numRef>
              <c:f>'학습률 비교'!$J$11:$J$36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비교'!$L$11:$L$36</c:f>
              <c:numCache>
                <c:formatCode>0.000000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A6-4808-BD04-9D57384EA354}"/>
            </c:ext>
          </c:extLst>
        </c:ser>
        <c:ser>
          <c:idx val="2"/>
          <c:order val="2"/>
          <c:cat>
            <c:numRef>
              <c:f>'학습률 비교'!$J$11:$J$36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비교'!$M$11:$M$36</c:f>
              <c:numCache>
                <c:formatCode>0.000000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A6-4808-BD04-9D57384EA354}"/>
            </c:ext>
          </c:extLst>
        </c:ser>
        <c:ser>
          <c:idx val="3"/>
          <c:order val="3"/>
          <c:cat>
            <c:numRef>
              <c:f>'학습률 비교'!$J$11:$J$36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비교'!$N$11:$N$36</c:f>
              <c:numCache>
                <c:formatCode>0.000000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A6-4808-BD04-9D57384EA354}"/>
            </c:ext>
          </c:extLst>
        </c:ser>
        <c:ser>
          <c:idx val="4"/>
          <c:order val="4"/>
          <c:cat>
            <c:numRef>
              <c:f>'학습률 비교'!$J$11:$J$36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비교'!$O$11:$O$36</c:f>
              <c:numCache>
                <c:formatCode>0.000000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A6-4808-BD04-9D57384EA354}"/>
            </c:ext>
          </c:extLst>
        </c:ser>
        <c:ser>
          <c:idx val="5"/>
          <c:order val="5"/>
          <c:cat>
            <c:numRef>
              <c:f>'학습률 비교'!$J$11:$J$36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비교'!$P$11:$P$36</c:f>
              <c:numCache>
                <c:formatCode>0.000000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A6-4808-BD04-9D57384EA354}"/>
            </c:ext>
          </c:extLst>
        </c:ser>
        <c:ser>
          <c:idx val="6"/>
          <c:order val="6"/>
          <c:cat>
            <c:numRef>
              <c:f>'학습률 비교'!$J$11:$J$36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'학습률 비교'!$Q$11:$Q$36</c:f>
              <c:numCache>
                <c:formatCode>0.000000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A6-4808-BD04-9D57384EA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학습률</a:t>
            </a:r>
            <a:r>
              <a:rPr lang="en-US"/>
              <a:t>: 01  (MaxIter=20)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1.7670384951881116E-2"/>
                  <c:y val="-7.863407699037620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45-40D4-9514-1651B5BAD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'학습률 비교'!$B$11:$B$36</c:f>
              <c:numCache>
                <c:formatCode>0.00</c:formatCode>
                <c:ptCount val="26"/>
                <c:pt idx="0">
                  <c:v>5</c:v>
                </c:pt>
                <c:pt idx="1">
                  <c:v>4.9000000000000004</c:v>
                </c:pt>
                <c:pt idx="2">
                  <c:v>4.8020000000000005</c:v>
                </c:pt>
                <c:pt idx="3">
                  <c:v>4.7059600000000001</c:v>
                </c:pt>
                <c:pt idx="4">
                  <c:v>4.6118408000000004</c:v>
                </c:pt>
                <c:pt idx="5">
                  <c:v>4.5196039840000006</c:v>
                </c:pt>
                <c:pt idx="6">
                  <c:v>4.4292119043200007</c:v>
                </c:pt>
                <c:pt idx="7">
                  <c:v>4.3406276662336003</c:v>
                </c:pt>
                <c:pt idx="8">
                  <c:v>4.2538151129089279</c:v>
                </c:pt>
                <c:pt idx="9">
                  <c:v>4.1687388106507495</c:v>
                </c:pt>
                <c:pt idx="10">
                  <c:v>4.0853640344377347</c:v>
                </c:pt>
                <c:pt idx="11">
                  <c:v>4.00365675374898</c:v>
                </c:pt>
                <c:pt idx="12">
                  <c:v>3.9235836186740003</c:v>
                </c:pt>
                <c:pt idx="13">
                  <c:v>3.8451119463005203</c:v>
                </c:pt>
                <c:pt idx="14">
                  <c:v>3.7682097073745098</c:v>
                </c:pt>
                <c:pt idx="15">
                  <c:v>3.6928455132270197</c:v>
                </c:pt>
                <c:pt idx="16">
                  <c:v>3.6189886029624794</c:v>
                </c:pt>
                <c:pt idx="17">
                  <c:v>3.5466088309032298</c:v>
                </c:pt>
                <c:pt idx="18">
                  <c:v>3.4756766542851651</c:v>
                </c:pt>
                <c:pt idx="19">
                  <c:v>3.4061631211994619</c:v>
                </c:pt>
                <c:pt idx="20">
                  <c:v>3.3380398587754727</c:v>
                </c:pt>
                <c:pt idx="21">
                  <c:v>3.2712790615999632</c:v>
                </c:pt>
                <c:pt idx="22">
                  <c:v>3.2058534803679639</c:v>
                </c:pt>
                <c:pt idx="23">
                  <c:v>3.1417364107606045</c:v>
                </c:pt>
                <c:pt idx="24">
                  <c:v>3.0789016825453923</c:v>
                </c:pt>
                <c:pt idx="25">
                  <c:v>3.0173236488944846</c:v>
                </c:pt>
              </c:numCache>
            </c:numRef>
          </c:xVal>
          <c:yVal>
            <c:numRef>
              <c:f>'학습률 비교'!$K$11:$K$36</c:f>
              <c:numCache>
                <c:formatCode>0.000000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5-40D4-9514-1651B5BAD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764655"/>
        <c:axId val="727755055"/>
      </c:scatterChart>
      <c:valAx>
        <c:axId val="72776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iteration: x_k</a:t>
                </a:r>
                <a:endParaRPr lang="ko-K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7755055"/>
        <c:crosses val="autoZero"/>
        <c:crossBetween val="midCat"/>
      </c:valAx>
      <c:valAx>
        <c:axId val="72775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함숫값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776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학습률</a:t>
            </a:r>
            <a:r>
              <a:rPr lang="en-US"/>
              <a:t>: 1.1 (MaxIter = 20)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'학습률 비교'!$H$11:$H$36</c:f>
              <c:numCache>
                <c:formatCode>0.00</c:formatCode>
                <c:ptCount val="26"/>
                <c:pt idx="0">
                  <c:v>5</c:v>
                </c:pt>
                <c:pt idx="1">
                  <c:v>-6.0000000000000009</c:v>
                </c:pt>
                <c:pt idx="2">
                  <c:v>7.200000000000002</c:v>
                </c:pt>
                <c:pt idx="3">
                  <c:v>-8.6400000000000041</c:v>
                </c:pt>
                <c:pt idx="4">
                  <c:v>10.368000000000006</c:v>
                </c:pt>
                <c:pt idx="5">
                  <c:v>-12.441600000000008</c:v>
                </c:pt>
                <c:pt idx="6">
                  <c:v>14.929920000000012</c:v>
                </c:pt>
                <c:pt idx="7">
                  <c:v>-17.915904000000015</c:v>
                </c:pt>
                <c:pt idx="8">
                  <c:v>21.49908480000002</c:v>
                </c:pt>
                <c:pt idx="9">
                  <c:v>-25.798901760000028</c:v>
                </c:pt>
                <c:pt idx="10">
                  <c:v>30.958682112000037</c:v>
                </c:pt>
                <c:pt idx="11">
                  <c:v>-37.150418534400053</c:v>
                </c:pt>
                <c:pt idx="12">
                  <c:v>44.580502241280072</c:v>
                </c:pt>
                <c:pt idx="13">
                  <c:v>-53.496602689536097</c:v>
                </c:pt>
                <c:pt idx="14">
                  <c:v>64.19592322744333</c:v>
                </c:pt>
                <c:pt idx="15">
                  <c:v>-77.035107872932002</c:v>
                </c:pt>
                <c:pt idx="16">
                  <c:v>92.442129447518411</c:v>
                </c:pt>
                <c:pt idx="17">
                  <c:v>-110.93055533702211</c:v>
                </c:pt>
                <c:pt idx="18">
                  <c:v>133.11666640442655</c:v>
                </c:pt>
                <c:pt idx="19">
                  <c:v>-159.73999968531189</c:v>
                </c:pt>
                <c:pt idx="20">
                  <c:v>191.68799962237429</c:v>
                </c:pt>
                <c:pt idx="21">
                  <c:v>-230.02559954684918</c:v>
                </c:pt>
                <c:pt idx="22">
                  <c:v>276.03071945621906</c:v>
                </c:pt>
                <c:pt idx="23">
                  <c:v>-331.23686334746293</c:v>
                </c:pt>
                <c:pt idx="24">
                  <c:v>397.48423601695555</c:v>
                </c:pt>
                <c:pt idx="25">
                  <c:v>-476.9810832203467</c:v>
                </c:pt>
              </c:numCache>
            </c:numRef>
          </c:xVal>
          <c:yVal>
            <c:numRef>
              <c:f>'학습률 비교'!$Q$11:$Q$36</c:f>
              <c:numCache>
                <c:formatCode>0.000000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0-43C2-BE04-C6D8EBAEE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737775"/>
        <c:axId val="727736815"/>
      </c:scatterChart>
      <c:valAx>
        <c:axId val="72773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iteration: x_k</a:t>
                </a:r>
                <a:endParaRPr lang="ko-K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7736815"/>
        <c:crosses val="autoZero"/>
        <c:crossBetween val="midCat"/>
      </c:valAx>
      <c:valAx>
        <c:axId val="7277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함숫값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773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ko-KR" altLang="en-US"/>
              <a:t>반복에 따른 </a:t>
            </a:r>
            <a:r>
              <a:rPr lang="en-US"/>
              <a:t>x_k </a:t>
            </a:r>
            <a:r>
              <a:rPr lang="ko-KR" altLang="en-US"/>
              <a:t>및 </a:t>
            </a:r>
            <a:r>
              <a:rPr lang="en-US"/>
              <a:t>f(x_k)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x_k</c:v>
          </c:tx>
          <c:cat>
            <c:numRef>
              <c:f>'GD 실습-정지 기준'!$A$12:$A$42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실습-정지 기준'!$B$12:$B$42</c:f>
              <c:numCache>
                <c:formatCode>0.000000</c:formatCode>
                <c:ptCount val="31"/>
                <c:pt idx="0">
                  <c:v>5</c:v>
                </c:pt>
                <c:pt idx="1">
                  <c:v>4</c:v>
                </c:pt>
                <c:pt idx="2">
                  <c:v>3.2</c:v>
                </c:pt>
                <c:pt idx="3">
                  <c:v>2.56</c:v>
                </c:pt>
                <c:pt idx="4">
                  <c:v>2.048</c:v>
                </c:pt>
                <c:pt idx="5">
                  <c:v>1.6384000000000001</c:v>
                </c:pt>
                <c:pt idx="6">
                  <c:v>1.3107200000000001</c:v>
                </c:pt>
                <c:pt idx="7">
                  <c:v>1.0485760000000002</c:v>
                </c:pt>
                <c:pt idx="8">
                  <c:v>0.83886080000000018</c:v>
                </c:pt>
                <c:pt idx="9">
                  <c:v>0.67108864000000013</c:v>
                </c:pt>
                <c:pt idx="10">
                  <c:v>0.53687091200000014</c:v>
                </c:pt>
                <c:pt idx="11">
                  <c:v>0.42949672960000013</c:v>
                </c:pt>
                <c:pt idx="12">
                  <c:v>0.34359738368000009</c:v>
                </c:pt>
                <c:pt idx="13">
                  <c:v>0.27487790694400005</c:v>
                </c:pt>
                <c:pt idx="14">
                  <c:v>0.21990232555520003</c:v>
                </c:pt>
                <c:pt idx="15">
                  <c:v>0.17592186044416003</c:v>
                </c:pt>
                <c:pt idx="16">
                  <c:v>0.14073748835532801</c:v>
                </c:pt>
                <c:pt idx="17">
                  <c:v>0.11258999068426241</c:v>
                </c:pt>
                <c:pt idx="18">
                  <c:v>9.0071992547409926E-2</c:v>
                </c:pt>
                <c:pt idx="19">
                  <c:v>7.2057594037927941E-2</c:v>
                </c:pt>
                <c:pt idx="20">
                  <c:v>5.7646075230342354E-2</c:v>
                </c:pt>
                <c:pt idx="21">
                  <c:v>4.6116860184273883E-2</c:v>
                </c:pt>
                <c:pt idx="22">
                  <c:v>3.6893488147419107E-2</c:v>
                </c:pt>
                <c:pt idx="23">
                  <c:v>2.9514790517935284E-2</c:v>
                </c:pt>
                <c:pt idx="24">
                  <c:v>2.3611832414348229E-2</c:v>
                </c:pt>
                <c:pt idx="25">
                  <c:v>1.8889465931478583E-2</c:v>
                </c:pt>
                <c:pt idx="26">
                  <c:v>1.5111572745182867E-2</c:v>
                </c:pt>
                <c:pt idx="27">
                  <c:v>1.2089258196146294E-2</c:v>
                </c:pt>
                <c:pt idx="28">
                  <c:v>9.6714065569170355E-3</c:v>
                </c:pt>
                <c:pt idx="29">
                  <c:v>7.7371252455336282E-3</c:v>
                </c:pt>
                <c:pt idx="30">
                  <c:v>6.1897001964269028E-3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4-443F-967C-1F0A0875FBA7}"/>
            </c:ext>
          </c:extLst>
        </c:ser>
        <c:ser>
          <c:idx val="1"/>
          <c:order val="1"/>
          <c:tx>
            <c:v>gradient 2x_k</c:v>
          </c:tx>
          <c:cat>
            <c:numRef>
              <c:f>'GD 실습-정지 기준'!$A$12:$A$42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실습-정지 기준'!$C$12:$C$42</c:f>
              <c:numCache>
                <c:formatCode>0.000000</c:formatCode>
                <c:ptCount val="31"/>
                <c:pt idx="0">
                  <c:v>10</c:v>
                </c:pt>
                <c:pt idx="1">
                  <c:v>8</c:v>
                </c:pt>
                <c:pt idx="2">
                  <c:v>6.4</c:v>
                </c:pt>
                <c:pt idx="3">
                  <c:v>5.12</c:v>
                </c:pt>
                <c:pt idx="4">
                  <c:v>4.0960000000000001</c:v>
                </c:pt>
                <c:pt idx="5">
                  <c:v>3.2768000000000002</c:v>
                </c:pt>
                <c:pt idx="6">
                  <c:v>2.6214400000000002</c:v>
                </c:pt>
                <c:pt idx="7">
                  <c:v>2.0971520000000003</c:v>
                </c:pt>
                <c:pt idx="8">
                  <c:v>1.6777216000000004</c:v>
                </c:pt>
                <c:pt idx="9">
                  <c:v>1.3421772800000003</c:v>
                </c:pt>
                <c:pt idx="10">
                  <c:v>1.0737418240000003</c:v>
                </c:pt>
                <c:pt idx="11">
                  <c:v>0.85899345920000025</c:v>
                </c:pt>
                <c:pt idx="12">
                  <c:v>0.68719476736000018</c:v>
                </c:pt>
                <c:pt idx="13">
                  <c:v>0.5497558138880001</c:v>
                </c:pt>
                <c:pt idx="14">
                  <c:v>0.43980465111040007</c:v>
                </c:pt>
                <c:pt idx="15">
                  <c:v>0.35184372088832006</c:v>
                </c:pt>
                <c:pt idx="16">
                  <c:v>0.28147497671065602</c:v>
                </c:pt>
                <c:pt idx="17">
                  <c:v>0.22517998136852482</c:v>
                </c:pt>
                <c:pt idx="18">
                  <c:v>0.18014398509481985</c:v>
                </c:pt>
                <c:pt idx="19">
                  <c:v>0.14411518807585588</c:v>
                </c:pt>
                <c:pt idx="20">
                  <c:v>0.11529215046068471</c:v>
                </c:pt>
                <c:pt idx="21">
                  <c:v>9.2233720368547767E-2</c:v>
                </c:pt>
                <c:pt idx="22">
                  <c:v>7.3786976294838214E-2</c:v>
                </c:pt>
                <c:pt idx="23">
                  <c:v>5.9029581035870568E-2</c:v>
                </c:pt>
                <c:pt idx="24">
                  <c:v>4.7223664828696457E-2</c:v>
                </c:pt>
                <c:pt idx="25">
                  <c:v>3.7778931862957166E-2</c:v>
                </c:pt>
                <c:pt idx="26">
                  <c:v>3.0223145490365734E-2</c:v>
                </c:pt>
                <c:pt idx="27">
                  <c:v>2.4178516392292588E-2</c:v>
                </c:pt>
                <c:pt idx="28">
                  <c:v>1.9342813113834071E-2</c:v>
                </c:pt>
                <c:pt idx="29">
                  <c:v>1.5474250491067256E-2</c:v>
                </c:pt>
                <c:pt idx="30">
                  <c:v>1.2379400392853806E-2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4-443F-967C-1F0A0875FBA7}"/>
            </c:ext>
          </c:extLst>
        </c:ser>
        <c:ser>
          <c:idx val="2"/>
          <c:order val="2"/>
          <c:tx>
            <c:v>f(x_k)</c:v>
          </c:tx>
          <c:cat>
            <c:numRef>
              <c:f>'GD 실습-정지 기준'!$A$12:$A$42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실습-정지 기준'!$D$12:$D$42</c:f>
              <c:numCache>
                <c:formatCode>0.000000</c:formatCode>
                <c:ptCount val="31"/>
                <c:pt idx="0">
                  <c:v>26</c:v>
                </c:pt>
                <c:pt idx="1">
                  <c:v>17</c:v>
                </c:pt>
                <c:pt idx="2">
                  <c:v>11.240000000000002</c:v>
                </c:pt>
                <c:pt idx="3">
                  <c:v>7.5536000000000003</c:v>
                </c:pt>
                <c:pt idx="4">
                  <c:v>5.1943039999999998</c:v>
                </c:pt>
                <c:pt idx="5">
                  <c:v>3.6843545600000001</c:v>
                </c:pt>
                <c:pt idx="6">
                  <c:v>2.7179869184000003</c:v>
                </c:pt>
                <c:pt idx="7">
                  <c:v>2.0995116277760006</c:v>
                </c:pt>
                <c:pt idx="8">
                  <c:v>1.7036874417766403</c:v>
                </c:pt>
                <c:pt idx="9">
                  <c:v>1.4503599627370498</c:v>
                </c:pt>
                <c:pt idx="10">
                  <c:v>1.288230376151712</c:v>
                </c:pt>
                <c:pt idx="11">
                  <c:v>1.1844674407370956</c:v>
                </c:pt>
                <c:pt idx="12">
                  <c:v>1.1180591620717413</c:v>
                </c:pt>
                <c:pt idx="13">
                  <c:v>1.0755578637259144</c:v>
                </c:pt>
                <c:pt idx="14">
                  <c:v>1.0483570327845853</c:v>
                </c:pt>
                <c:pt idx="15">
                  <c:v>1.0309485009821344</c:v>
                </c:pt>
                <c:pt idx="16">
                  <c:v>1.019807040628566</c:v>
                </c:pt>
                <c:pt idx="17">
                  <c:v>1.0126765060022822</c:v>
                </c:pt>
                <c:pt idx="18">
                  <c:v>1.0081129638414608</c:v>
                </c:pt>
                <c:pt idx="19">
                  <c:v>1.0051922968585347</c:v>
                </c:pt>
                <c:pt idx="20">
                  <c:v>1.0033230699894622</c:v>
                </c:pt>
                <c:pt idx="21">
                  <c:v>1.0021267647932559</c:v>
                </c:pt>
                <c:pt idx="22">
                  <c:v>1.0013611294676839</c:v>
                </c:pt>
                <c:pt idx="23">
                  <c:v>1.0008711228593177</c:v>
                </c:pt>
                <c:pt idx="24">
                  <c:v>1.0005575186299633</c:v>
                </c:pt>
                <c:pt idx="25">
                  <c:v>1.0003568119231765</c:v>
                </c:pt>
                <c:pt idx="26">
                  <c:v>1.000228359630833</c:v>
                </c:pt>
                <c:pt idx="27">
                  <c:v>1.000146150163733</c:v>
                </c:pt>
                <c:pt idx="28">
                  <c:v>1.0000935361047891</c:v>
                </c:pt>
                <c:pt idx="29">
                  <c:v>1.0000598631070652</c:v>
                </c:pt>
                <c:pt idx="30">
                  <c:v>1.0000383123885217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4-443F-967C-1F0A0875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ko-KR" altLang="en-US"/>
              <a:t>변화량 </a:t>
            </a:r>
            <a:r>
              <a:rPr lang="en-US" altLang="ko-KR"/>
              <a:t>|</a:t>
            </a:r>
            <a:r>
              <a:rPr lang="el-GR"/>
              <a:t>Δ</a:t>
            </a:r>
            <a:r>
              <a:rPr lang="en-US"/>
              <a:t>x| </a:t>
            </a:r>
            <a:r>
              <a:rPr lang="ko-KR" altLang="en-US"/>
              <a:t>확인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'GD 실습-정지 기준'!$B$11</c:f>
              <c:strCache>
                <c:ptCount val="1"/>
                <c:pt idx="0">
                  <c:v>x_k</c:v>
                </c:pt>
              </c:strCache>
            </c:strRef>
          </c:tx>
          <c:cat>
            <c:numRef>
              <c:f>'GD 실습-정지 기준'!$A$12:$A$42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실습-정지 기준'!$B$12:$B$42</c:f>
              <c:numCache>
                <c:formatCode>0.000000</c:formatCode>
                <c:ptCount val="31"/>
                <c:pt idx="0">
                  <c:v>5</c:v>
                </c:pt>
                <c:pt idx="1">
                  <c:v>4</c:v>
                </c:pt>
                <c:pt idx="2">
                  <c:v>3.2</c:v>
                </c:pt>
                <c:pt idx="3">
                  <c:v>2.56</c:v>
                </c:pt>
                <c:pt idx="4">
                  <c:v>2.048</c:v>
                </c:pt>
                <c:pt idx="5">
                  <c:v>1.6384000000000001</c:v>
                </c:pt>
                <c:pt idx="6">
                  <c:v>1.3107200000000001</c:v>
                </c:pt>
                <c:pt idx="7">
                  <c:v>1.0485760000000002</c:v>
                </c:pt>
                <c:pt idx="8">
                  <c:v>0.83886080000000018</c:v>
                </c:pt>
                <c:pt idx="9">
                  <c:v>0.67108864000000013</c:v>
                </c:pt>
                <c:pt idx="10">
                  <c:v>0.53687091200000014</c:v>
                </c:pt>
                <c:pt idx="11">
                  <c:v>0.42949672960000013</c:v>
                </c:pt>
                <c:pt idx="12">
                  <c:v>0.34359738368000009</c:v>
                </c:pt>
                <c:pt idx="13">
                  <c:v>0.27487790694400005</c:v>
                </c:pt>
                <c:pt idx="14">
                  <c:v>0.21990232555520003</c:v>
                </c:pt>
                <c:pt idx="15">
                  <c:v>0.17592186044416003</c:v>
                </c:pt>
                <c:pt idx="16">
                  <c:v>0.14073748835532801</c:v>
                </c:pt>
                <c:pt idx="17">
                  <c:v>0.11258999068426241</c:v>
                </c:pt>
                <c:pt idx="18">
                  <c:v>9.0071992547409926E-2</c:v>
                </c:pt>
                <c:pt idx="19">
                  <c:v>7.2057594037927941E-2</c:v>
                </c:pt>
                <c:pt idx="20">
                  <c:v>5.7646075230342354E-2</c:v>
                </c:pt>
                <c:pt idx="21">
                  <c:v>4.6116860184273883E-2</c:v>
                </c:pt>
                <c:pt idx="22">
                  <c:v>3.6893488147419107E-2</c:v>
                </c:pt>
                <c:pt idx="23">
                  <c:v>2.9514790517935284E-2</c:v>
                </c:pt>
                <c:pt idx="24">
                  <c:v>2.3611832414348229E-2</c:v>
                </c:pt>
                <c:pt idx="25">
                  <c:v>1.8889465931478583E-2</c:v>
                </c:pt>
                <c:pt idx="26">
                  <c:v>1.5111572745182867E-2</c:v>
                </c:pt>
                <c:pt idx="27">
                  <c:v>1.2089258196146294E-2</c:v>
                </c:pt>
                <c:pt idx="28">
                  <c:v>9.6714065569170355E-3</c:v>
                </c:pt>
                <c:pt idx="29">
                  <c:v>7.7371252455336282E-3</c:v>
                </c:pt>
                <c:pt idx="30">
                  <c:v>6.1897001964269028E-3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0-4807-8DC4-CFB5CFA58214}"/>
            </c:ext>
          </c:extLst>
        </c:ser>
        <c:ser>
          <c:idx val="1"/>
          <c:order val="1"/>
          <c:tx>
            <c:strRef>
              <c:f>'GD 실습-정지 기준'!$C$11</c:f>
              <c:strCache>
                <c:ptCount val="1"/>
                <c:pt idx="0">
                  <c:v>gradient 2x_k</c:v>
                </c:pt>
              </c:strCache>
            </c:strRef>
          </c:tx>
          <c:cat>
            <c:numRef>
              <c:f>'GD 실습-정지 기준'!$A$12:$A$42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실습-정지 기준'!$C$12:$C$42</c:f>
              <c:numCache>
                <c:formatCode>0.000000</c:formatCode>
                <c:ptCount val="31"/>
                <c:pt idx="0">
                  <c:v>10</c:v>
                </c:pt>
                <c:pt idx="1">
                  <c:v>8</c:v>
                </c:pt>
                <c:pt idx="2">
                  <c:v>6.4</c:v>
                </c:pt>
                <c:pt idx="3">
                  <c:v>5.12</c:v>
                </c:pt>
                <c:pt idx="4">
                  <c:v>4.0960000000000001</c:v>
                </c:pt>
                <c:pt idx="5">
                  <c:v>3.2768000000000002</c:v>
                </c:pt>
                <c:pt idx="6">
                  <c:v>2.6214400000000002</c:v>
                </c:pt>
                <c:pt idx="7">
                  <c:v>2.0971520000000003</c:v>
                </c:pt>
                <c:pt idx="8">
                  <c:v>1.6777216000000004</c:v>
                </c:pt>
                <c:pt idx="9">
                  <c:v>1.3421772800000003</c:v>
                </c:pt>
                <c:pt idx="10">
                  <c:v>1.0737418240000003</c:v>
                </c:pt>
                <c:pt idx="11">
                  <c:v>0.85899345920000025</c:v>
                </c:pt>
                <c:pt idx="12">
                  <c:v>0.68719476736000018</c:v>
                </c:pt>
                <c:pt idx="13">
                  <c:v>0.5497558138880001</c:v>
                </c:pt>
                <c:pt idx="14">
                  <c:v>0.43980465111040007</c:v>
                </c:pt>
                <c:pt idx="15">
                  <c:v>0.35184372088832006</c:v>
                </c:pt>
                <c:pt idx="16">
                  <c:v>0.28147497671065602</c:v>
                </c:pt>
                <c:pt idx="17">
                  <c:v>0.22517998136852482</c:v>
                </c:pt>
                <c:pt idx="18">
                  <c:v>0.18014398509481985</c:v>
                </c:pt>
                <c:pt idx="19">
                  <c:v>0.14411518807585588</c:v>
                </c:pt>
                <c:pt idx="20">
                  <c:v>0.11529215046068471</c:v>
                </c:pt>
                <c:pt idx="21">
                  <c:v>9.2233720368547767E-2</c:v>
                </c:pt>
                <c:pt idx="22">
                  <c:v>7.3786976294838214E-2</c:v>
                </c:pt>
                <c:pt idx="23">
                  <c:v>5.9029581035870568E-2</c:v>
                </c:pt>
                <c:pt idx="24">
                  <c:v>4.7223664828696457E-2</c:v>
                </c:pt>
                <c:pt idx="25">
                  <c:v>3.7778931862957166E-2</c:v>
                </c:pt>
                <c:pt idx="26">
                  <c:v>3.0223145490365734E-2</c:v>
                </c:pt>
                <c:pt idx="27">
                  <c:v>2.4178516392292588E-2</c:v>
                </c:pt>
                <c:pt idx="28">
                  <c:v>1.9342813113834071E-2</c:v>
                </c:pt>
                <c:pt idx="29">
                  <c:v>1.5474250491067256E-2</c:v>
                </c:pt>
                <c:pt idx="30">
                  <c:v>1.2379400392853806E-2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0-4807-8DC4-CFB5CFA58214}"/>
            </c:ext>
          </c:extLst>
        </c:ser>
        <c:ser>
          <c:idx val="2"/>
          <c:order val="2"/>
          <c:tx>
            <c:strRef>
              <c:f>'GD 실습-정지 기준'!$D$11</c:f>
              <c:strCache>
                <c:ptCount val="1"/>
                <c:pt idx="0">
                  <c:v>f(x_k)</c:v>
                </c:pt>
              </c:strCache>
            </c:strRef>
          </c:tx>
          <c:cat>
            <c:numRef>
              <c:f>'GD 실습-정지 기준'!$A$12:$A$42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실습-정지 기준'!$D$12:$D$42</c:f>
              <c:numCache>
                <c:formatCode>0.000000</c:formatCode>
                <c:ptCount val="31"/>
                <c:pt idx="0">
                  <c:v>26</c:v>
                </c:pt>
                <c:pt idx="1">
                  <c:v>17</c:v>
                </c:pt>
                <c:pt idx="2">
                  <c:v>11.240000000000002</c:v>
                </c:pt>
                <c:pt idx="3">
                  <c:v>7.5536000000000003</c:v>
                </c:pt>
                <c:pt idx="4">
                  <c:v>5.1943039999999998</c:v>
                </c:pt>
                <c:pt idx="5">
                  <c:v>3.6843545600000001</c:v>
                </c:pt>
                <c:pt idx="6">
                  <c:v>2.7179869184000003</c:v>
                </c:pt>
                <c:pt idx="7">
                  <c:v>2.0995116277760006</c:v>
                </c:pt>
                <c:pt idx="8">
                  <c:v>1.7036874417766403</c:v>
                </c:pt>
                <c:pt idx="9">
                  <c:v>1.4503599627370498</c:v>
                </c:pt>
                <c:pt idx="10">
                  <c:v>1.288230376151712</c:v>
                </c:pt>
                <c:pt idx="11">
                  <c:v>1.1844674407370956</c:v>
                </c:pt>
                <c:pt idx="12">
                  <c:v>1.1180591620717413</c:v>
                </c:pt>
                <c:pt idx="13">
                  <c:v>1.0755578637259144</c:v>
                </c:pt>
                <c:pt idx="14">
                  <c:v>1.0483570327845853</c:v>
                </c:pt>
                <c:pt idx="15">
                  <c:v>1.0309485009821344</c:v>
                </c:pt>
                <c:pt idx="16">
                  <c:v>1.019807040628566</c:v>
                </c:pt>
                <c:pt idx="17">
                  <c:v>1.0126765060022822</c:v>
                </c:pt>
                <c:pt idx="18">
                  <c:v>1.0081129638414608</c:v>
                </c:pt>
                <c:pt idx="19">
                  <c:v>1.0051922968585347</c:v>
                </c:pt>
                <c:pt idx="20">
                  <c:v>1.0033230699894622</c:v>
                </c:pt>
                <c:pt idx="21">
                  <c:v>1.0021267647932559</c:v>
                </c:pt>
                <c:pt idx="22">
                  <c:v>1.0013611294676839</c:v>
                </c:pt>
                <c:pt idx="23">
                  <c:v>1.0008711228593177</c:v>
                </c:pt>
                <c:pt idx="24">
                  <c:v>1.0005575186299633</c:v>
                </c:pt>
                <c:pt idx="25">
                  <c:v>1.0003568119231765</c:v>
                </c:pt>
                <c:pt idx="26">
                  <c:v>1.000228359630833</c:v>
                </c:pt>
                <c:pt idx="27">
                  <c:v>1.000146150163733</c:v>
                </c:pt>
                <c:pt idx="28">
                  <c:v>1.0000935361047891</c:v>
                </c:pt>
                <c:pt idx="29">
                  <c:v>1.0000598631070652</c:v>
                </c:pt>
                <c:pt idx="30">
                  <c:v>1.0000383123885217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F0-4807-8DC4-CFB5CFA58214}"/>
            </c:ext>
          </c:extLst>
        </c:ser>
        <c:ser>
          <c:idx val="3"/>
          <c:order val="3"/>
          <c:tx>
            <c:strRef>
              <c:f>'GD 실습-정지 기준'!$E$11</c:f>
              <c:strCache>
                <c:ptCount val="1"/>
                <c:pt idx="0">
                  <c:v>f(x_{k+1})-f(x_k)</c:v>
                </c:pt>
              </c:strCache>
            </c:strRef>
          </c:tx>
          <c:cat>
            <c:numRef>
              <c:f>'GD 실습-정지 기준'!$A$12:$A$42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실습-정지 기준'!$E$12:$E$42</c:f>
              <c:numCache>
                <c:formatCode>0.000000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F0-4807-8DC4-CFB5CFA58214}"/>
            </c:ext>
          </c:extLst>
        </c:ser>
        <c:ser>
          <c:idx val="4"/>
          <c:order val="4"/>
          <c:tx>
            <c:strRef>
              <c:f>'GD 실습-정지 기준'!$F$11</c:f>
              <c:strCache>
                <c:ptCount val="1"/>
                <c:pt idx="0">
                  <c:v>x_{k+1}=x_k-α·2x_k</c:v>
                </c:pt>
              </c:strCache>
            </c:strRef>
          </c:tx>
          <c:cat>
            <c:numRef>
              <c:f>'GD 실습-정지 기준'!$A$12:$A$42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실습-정지 기준'!$F$12:$F$42</c:f>
              <c:numCache>
                <c:formatCode>0.000000</c:formatCode>
                <c:ptCount val="31"/>
                <c:pt idx="0">
                  <c:v>4</c:v>
                </c:pt>
                <c:pt idx="1">
                  <c:v>3.2</c:v>
                </c:pt>
                <c:pt idx="2">
                  <c:v>2.56</c:v>
                </c:pt>
                <c:pt idx="3">
                  <c:v>2.048</c:v>
                </c:pt>
                <c:pt idx="4">
                  <c:v>1.6384000000000001</c:v>
                </c:pt>
                <c:pt idx="5">
                  <c:v>1.3107200000000001</c:v>
                </c:pt>
                <c:pt idx="6">
                  <c:v>1.0485760000000002</c:v>
                </c:pt>
                <c:pt idx="7">
                  <c:v>0.83886080000000018</c:v>
                </c:pt>
                <c:pt idx="8">
                  <c:v>0.67108864000000013</c:v>
                </c:pt>
                <c:pt idx="9">
                  <c:v>0.53687091200000014</c:v>
                </c:pt>
                <c:pt idx="10">
                  <c:v>0.42949672960000013</c:v>
                </c:pt>
                <c:pt idx="11">
                  <c:v>0.34359738368000009</c:v>
                </c:pt>
                <c:pt idx="12">
                  <c:v>0.27487790694400005</c:v>
                </c:pt>
                <c:pt idx="13">
                  <c:v>0.21990232555520003</c:v>
                </c:pt>
                <c:pt idx="14">
                  <c:v>0.17592186044416003</c:v>
                </c:pt>
                <c:pt idx="15">
                  <c:v>0.14073748835532801</c:v>
                </c:pt>
                <c:pt idx="16">
                  <c:v>0.11258999068426241</c:v>
                </c:pt>
                <c:pt idx="17">
                  <c:v>9.0071992547409926E-2</c:v>
                </c:pt>
                <c:pt idx="18">
                  <c:v>7.2057594037927941E-2</c:v>
                </c:pt>
                <c:pt idx="19">
                  <c:v>5.7646075230342354E-2</c:v>
                </c:pt>
                <c:pt idx="20">
                  <c:v>4.6116860184273883E-2</c:v>
                </c:pt>
                <c:pt idx="21">
                  <c:v>3.6893488147419107E-2</c:v>
                </c:pt>
                <c:pt idx="22">
                  <c:v>2.9514790517935284E-2</c:v>
                </c:pt>
                <c:pt idx="23">
                  <c:v>2.3611832414348229E-2</c:v>
                </c:pt>
                <c:pt idx="24">
                  <c:v>1.8889465931478583E-2</c:v>
                </c:pt>
                <c:pt idx="25">
                  <c:v>1.5111572745182867E-2</c:v>
                </c:pt>
                <c:pt idx="26">
                  <c:v>1.2089258196146294E-2</c:v>
                </c:pt>
                <c:pt idx="27">
                  <c:v>9.6714065569170355E-3</c:v>
                </c:pt>
                <c:pt idx="28">
                  <c:v>7.7371252455336282E-3</c:v>
                </c:pt>
                <c:pt idx="29">
                  <c:v>6.1897001964269028E-3</c:v>
                </c:pt>
                <c:pt idx="30">
                  <c:v>4.9517601571415224E-3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F0-4807-8DC4-CFB5CFA58214}"/>
            </c:ext>
          </c:extLst>
        </c:ser>
        <c:ser>
          <c:idx val="5"/>
          <c:order val="5"/>
          <c:tx>
            <c:strRef>
              <c:f>'GD 실습-정지 기준'!$G$11</c:f>
              <c:strCache>
                <c:ptCount val="1"/>
                <c:pt idx="0">
                  <c:v>변화량 Δx</c:v>
                </c:pt>
              </c:strCache>
            </c:strRef>
          </c:tx>
          <c:cat>
            <c:numRef>
              <c:f>'GD 실습-정지 기준'!$A$12:$A$42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실습-정지 기준'!$G$12:$G$42</c:f>
              <c:numCache>
                <c:formatCode>0.000000</c:formatCode>
                <c:ptCount val="31"/>
                <c:pt idx="0">
                  <c:v>-1</c:v>
                </c:pt>
                <c:pt idx="1">
                  <c:v>-0.79999999999999982</c:v>
                </c:pt>
                <c:pt idx="2">
                  <c:v>-0.64000000000000012</c:v>
                </c:pt>
                <c:pt idx="3">
                  <c:v>-0.51200000000000001</c:v>
                </c:pt>
                <c:pt idx="4">
                  <c:v>-0.40959999999999996</c:v>
                </c:pt>
                <c:pt idx="5">
                  <c:v>-0.32767999999999997</c:v>
                </c:pt>
                <c:pt idx="6">
                  <c:v>-0.26214399999999993</c:v>
                </c:pt>
                <c:pt idx="7">
                  <c:v>-0.20971519999999999</c:v>
                </c:pt>
                <c:pt idx="8">
                  <c:v>-0.16777216000000006</c:v>
                </c:pt>
                <c:pt idx="9">
                  <c:v>-0.13421772799999998</c:v>
                </c:pt>
                <c:pt idx="10">
                  <c:v>-0.10737418240000002</c:v>
                </c:pt>
                <c:pt idx="11">
                  <c:v>-8.5899345920000036E-2</c:v>
                </c:pt>
                <c:pt idx="12">
                  <c:v>-6.871947673600004E-2</c:v>
                </c:pt>
                <c:pt idx="13">
                  <c:v>-5.4975581388800016E-2</c:v>
                </c:pt>
                <c:pt idx="14">
                  <c:v>-4.3980465111040007E-2</c:v>
                </c:pt>
                <c:pt idx="15">
                  <c:v>-3.5184372088832017E-2</c:v>
                </c:pt>
                <c:pt idx="16">
                  <c:v>-2.8147497671065599E-2</c:v>
                </c:pt>
                <c:pt idx="17">
                  <c:v>-2.2517998136852485E-2</c:v>
                </c:pt>
                <c:pt idx="18">
                  <c:v>-1.8014398509481985E-2</c:v>
                </c:pt>
                <c:pt idx="19">
                  <c:v>-1.4411518807585587E-2</c:v>
                </c:pt>
                <c:pt idx="20">
                  <c:v>-1.1529215046068471E-2</c:v>
                </c:pt>
                <c:pt idx="21">
                  <c:v>-9.2233720368547767E-3</c:v>
                </c:pt>
                <c:pt idx="22">
                  <c:v>-7.3786976294838227E-3</c:v>
                </c:pt>
                <c:pt idx="23">
                  <c:v>-5.9029581035870554E-3</c:v>
                </c:pt>
                <c:pt idx="24">
                  <c:v>-4.7223664828696457E-3</c:v>
                </c:pt>
                <c:pt idx="25">
                  <c:v>-3.7778931862957159E-3</c:v>
                </c:pt>
                <c:pt idx="26">
                  <c:v>-3.0223145490365731E-3</c:v>
                </c:pt>
                <c:pt idx="27">
                  <c:v>-2.4178516392292584E-3</c:v>
                </c:pt>
                <c:pt idx="28">
                  <c:v>-1.9342813113834073E-3</c:v>
                </c:pt>
                <c:pt idx="29">
                  <c:v>-1.5474250491067255E-3</c:v>
                </c:pt>
                <c:pt idx="30">
                  <c:v>-1.2379400392853804E-3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F0-4807-8DC4-CFB5CFA58214}"/>
            </c:ext>
          </c:extLst>
        </c:ser>
        <c:ser>
          <c:idx val="6"/>
          <c:order val="6"/>
          <c:tx>
            <c:strRef>
              <c:f>'GD 실습-정지 기준'!$H$11</c:f>
              <c:strCache>
                <c:ptCount val="1"/>
                <c:pt idx="0">
                  <c:v>x* - x_k</c:v>
                </c:pt>
              </c:strCache>
            </c:strRef>
          </c:tx>
          <c:cat>
            <c:numRef>
              <c:f>'GD 실습-정지 기준'!$A$12:$A$42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실습-정지 기준'!$H$12:$H$42</c:f>
              <c:numCache>
                <c:formatCode>0.000000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F0-4807-8DC4-CFB5CFA58214}"/>
            </c:ext>
          </c:extLst>
        </c:ser>
        <c:ser>
          <c:idx val="7"/>
          <c:order val="7"/>
          <c:tx>
            <c:strRef>
              <c:f>'GD 실습-정지 기준'!$I$11</c:f>
              <c:strCache>
                <c:ptCount val="1"/>
                <c:pt idx="0">
                  <c:v>|Δx|</c:v>
                </c:pt>
              </c:strCache>
            </c:strRef>
          </c:tx>
          <c:cat>
            <c:numRef>
              <c:f>'GD 실습-정지 기준'!$A$12:$A$42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'GD 실습-정지 기준'!$I$12:$I$42</c:f>
              <c:numCache>
                <c:formatCode>0.000000</c:formatCode>
                <c:ptCount val="31"/>
                <c:pt idx="0">
                  <c:v>1</c:v>
                </c:pt>
                <c:pt idx="1">
                  <c:v>0.79999999999999982</c:v>
                </c:pt>
                <c:pt idx="2">
                  <c:v>0.64000000000000012</c:v>
                </c:pt>
                <c:pt idx="3">
                  <c:v>0.51200000000000001</c:v>
                </c:pt>
                <c:pt idx="4">
                  <c:v>0.40959999999999996</c:v>
                </c:pt>
                <c:pt idx="5">
                  <c:v>0.32767999999999997</c:v>
                </c:pt>
                <c:pt idx="6">
                  <c:v>0.26214399999999993</c:v>
                </c:pt>
                <c:pt idx="7">
                  <c:v>0.20971519999999999</c:v>
                </c:pt>
                <c:pt idx="8">
                  <c:v>0.16777216000000006</c:v>
                </c:pt>
                <c:pt idx="9">
                  <c:v>0.13421772799999998</c:v>
                </c:pt>
                <c:pt idx="10">
                  <c:v>0.10737418240000002</c:v>
                </c:pt>
                <c:pt idx="11">
                  <c:v>8.5899345920000036E-2</c:v>
                </c:pt>
                <c:pt idx="12">
                  <c:v>6.871947673600004E-2</c:v>
                </c:pt>
                <c:pt idx="13">
                  <c:v>5.4975581388800016E-2</c:v>
                </c:pt>
                <c:pt idx="14">
                  <c:v>4.3980465111040007E-2</c:v>
                </c:pt>
                <c:pt idx="15">
                  <c:v>3.5184372088832017E-2</c:v>
                </c:pt>
                <c:pt idx="16">
                  <c:v>2.8147497671065599E-2</c:v>
                </c:pt>
                <c:pt idx="17">
                  <c:v>2.2517998136852485E-2</c:v>
                </c:pt>
                <c:pt idx="18">
                  <c:v>1.8014398509481985E-2</c:v>
                </c:pt>
                <c:pt idx="19">
                  <c:v>1.4411518807585587E-2</c:v>
                </c:pt>
                <c:pt idx="20">
                  <c:v>1.1529215046068471E-2</c:v>
                </c:pt>
                <c:pt idx="21">
                  <c:v>9.2233720368547767E-3</c:v>
                </c:pt>
                <c:pt idx="22">
                  <c:v>7.3786976294838227E-3</c:v>
                </c:pt>
                <c:pt idx="23">
                  <c:v>5.9029581035870554E-3</c:v>
                </c:pt>
                <c:pt idx="24">
                  <c:v>4.7223664828696457E-3</c:v>
                </c:pt>
                <c:pt idx="25">
                  <c:v>3.7778931862957159E-3</c:v>
                </c:pt>
                <c:pt idx="26">
                  <c:v>3.0223145490365731E-3</c:v>
                </c:pt>
                <c:pt idx="27">
                  <c:v>2.4178516392292584E-3</c:v>
                </c:pt>
                <c:pt idx="28">
                  <c:v>1.9342813113834073E-3</c:v>
                </c:pt>
                <c:pt idx="29">
                  <c:v>1.5474250491067255E-3</c:v>
                </c:pt>
                <c:pt idx="30">
                  <c:v>1.2379400392853804E-3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F0-4807-8DC4-CFB5CFA58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17</xdr:col>
      <xdr:colOff>0</xdr:colOff>
      <xdr:row>58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233362</xdr:colOff>
      <xdr:row>59</xdr:row>
      <xdr:rowOff>9525</xdr:rowOff>
    </xdr:from>
    <xdr:to>
      <xdr:col>6</xdr:col>
      <xdr:colOff>233362</xdr:colOff>
      <xdr:row>74</xdr:row>
      <xdr:rowOff>38100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DFC354D-2BD2-8B78-C226-E997D5431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523875</xdr:colOff>
      <xdr:row>58</xdr:row>
      <xdr:rowOff>104775</xdr:rowOff>
    </xdr:from>
    <xdr:to>
      <xdr:col>13</xdr:col>
      <xdr:colOff>933450</xdr:colOff>
      <xdr:row>73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483D988-0B27-519C-DBA0-CC9327DF4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CFECCF86-10C3-4EF1-BB9A-2911EF93F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26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BD4983C8-ABEF-4915-86FD-1CA67FF93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GDIterationTable" displayName="GDIterationTable" ref="A12:H43">
  <tableColumns count="8">
    <tableColumn id="1" name="k"/>
    <tableColumn id="2" name="x_k" dataDxfId="6">
      <calculatedColumnFormula>B5</calculatedColumnFormula>
    </tableColumn>
    <tableColumn id="3" name="gradient 2x_k" dataDxfId="4">
      <calculatedColumnFormula>GDIterationTable[[#This Row],[x_k]]*2</calculatedColumnFormula>
    </tableColumn>
    <tableColumn id="4" name="f(x_k)" dataDxfId="5">
      <calculatedColumnFormula>GDIterationTable[[#This Row],[x_k]]^2+1</calculatedColumnFormula>
    </tableColumn>
    <tableColumn id="5" name="x_{k+1}=x_k-α·2x_k" dataDxfId="3">
      <calculatedColumnFormula>GDIterationTable[[#This Row],[x_k]]-$B$6*GDIterationTable[[#This Row],[gradient 2x_k]]</calculatedColumnFormula>
    </tableColumn>
    <tableColumn id="6" name="변화량 Δx" dataDxfId="2">
      <calculatedColumnFormula>GDIterationTable[[#This Row],[x_{k+1}=x_k-α·2x_k]]-GDIterationTable[[#This Row],[x_k]]</calculatedColumnFormula>
    </tableColumn>
    <tableColumn id="8" name="x* - x_k" dataDxfId="0" dataCellStyle="Normal">
      <calculatedColumnFormula>$F$8-GDIterationTable[[#This Row],[x_k]]</calculatedColumnFormula>
    </tableColumn>
    <tableColumn id="7" name="|Δx|" dataDxfId="1">
      <calculatedColumnFormula>ABS(GDIterationTable[[#This Row],[변화량 Δx]])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phaXTable" displayName="AlphaXTable" ref="A10:H36">
  <tableColumns count="8">
    <tableColumn id="1" name="k"/>
    <tableColumn id="2" name="α=0.01" dataDxfId="16"/>
    <tableColumn id="3" name="α=0.05" dataDxfId="15"/>
    <tableColumn id="4" name="α=0.1" dataDxfId="14"/>
    <tableColumn id="5" name="α=0.5" dataDxfId="13"/>
    <tableColumn id="6" name="α=0.9" dataDxfId="12"/>
    <tableColumn id="7" name="α=1.0" dataDxfId="11"/>
    <tableColumn id="8" name="α=1.1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phaFTable" displayName="AlphaFTable" ref="J10:Q36">
  <tableColumns count="8">
    <tableColumn id="1" name="k"/>
    <tableColumn id="2" name="f, α=0.01"/>
    <tableColumn id="3" name="f, α=0.05"/>
    <tableColumn id="4" name="f, α=0.1"/>
    <tableColumn id="5" name="f, α=0.5"/>
    <tableColumn id="6" name="f, α=0.9"/>
    <tableColumn id="7" name="f, α=1.0"/>
    <tableColumn id="8" name="f, α=1.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DIterationTable5" displayName="GDIterationTable5" ref="A11:I42">
  <tableColumns count="9">
    <tableColumn id="1" name="k"/>
    <tableColumn id="2" name="x_k"/>
    <tableColumn id="3" name="gradient 2x_k">
      <calculatedColumnFormula>2*B12</calculatedColumnFormula>
    </tableColumn>
    <tableColumn id="4" name="f(x_k)">
      <calculatedColumnFormula>B12^2+1</calculatedColumnFormula>
    </tableColumn>
    <tableColumn id="9" name="f(x_{k+1})-f(x_k)" dataDxfId="8" dataCellStyle="Normal"/>
    <tableColumn id="5" name="x_{k+1}=x_k-α·2x_k">
      <calculatedColumnFormula>B12-$B$6*C12</calculatedColumnFormula>
    </tableColumn>
    <tableColumn id="6" name="변화량 Δx">
      <calculatedColumnFormula>F12-B12</calculatedColumnFormula>
    </tableColumn>
    <tableColumn id="8" name="x* - x_k" dataDxfId="7" dataCellStyle="Normal"/>
    <tableColumn id="7" name="|Δx|">
      <calculatedColumnFormula>ABS(G12)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H8" sqref="H8:I8"/>
    </sheetView>
  </sheetViews>
  <sheetFormatPr defaultRowHeight="14.25"/>
  <cols>
    <col min="1" max="1" width="10.875" customWidth="1"/>
    <col min="2" max="2" width="9" customWidth="1"/>
    <col min="3" max="3" width="14.25" customWidth="1"/>
    <col min="4" max="4" width="11.375" customWidth="1"/>
    <col min="5" max="5" width="19.25" customWidth="1"/>
    <col min="6" max="6" width="15" customWidth="1"/>
    <col min="7" max="7" width="13.125" customWidth="1"/>
    <col min="8" max="8" width="15" customWidth="1"/>
    <col min="9" max="9" width="9.75" customWidth="1"/>
    <col min="10" max="10" width="14" customWidth="1"/>
  </cols>
  <sheetData>
    <row r="1" spans="1:11" ht="30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3" spans="1:11" ht="15">
      <c r="A3" s="49" t="s">
        <v>1</v>
      </c>
      <c r="B3" s="48"/>
      <c r="C3" s="48"/>
      <c r="E3" s="50" t="s">
        <v>2</v>
      </c>
      <c r="F3" s="48"/>
      <c r="G3" s="48"/>
      <c r="H3" s="48"/>
      <c r="I3" s="48"/>
      <c r="J3" s="48"/>
      <c r="K3" s="48"/>
    </row>
    <row r="4" spans="1:11" ht="15">
      <c r="A4" s="3" t="s">
        <v>3</v>
      </c>
      <c r="B4" s="4" t="s">
        <v>48</v>
      </c>
      <c r="C4" s="5" t="s">
        <v>4</v>
      </c>
      <c r="E4" s="1" t="s">
        <v>5</v>
      </c>
      <c r="F4" s="33">
        <f>$B$7</f>
        <v>30</v>
      </c>
      <c r="G4" s="33"/>
      <c r="H4" s="12"/>
      <c r="I4" s="34" t="s">
        <v>6</v>
      </c>
      <c r="J4" s="33">
        <f>INDEX(B13:B43,$B$7+1)</f>
        <v>6.1897001964269028E-3</v>
      </c>
    </row>
    <row r="5" spans="1:11" ht="16.5">
      <c r="A5" s="6" t="s">
        <v>7</v>
      </c>
      <c r="B5" s="7">
        <v>5</v>
      </c>
      <c r="C5" s="8" t="s">
        <v>8</v>
      </c>
      <c r="E5" s="1" t="s">
        <v>9</v>
      </c>
      <c r="F5" s="33">
        <f>INDEX(D13:D43,$B$7+1)</f>
        <v>1.0000383123885217</v>
      </c>
      <c r="G5" s="33"/>
      <c r="H5" s="12"/>
      <c r="I5" s="36" t="s">
        <v>46</v>
      </c>
      <c r="J5" s="33">
        <f>INDEX(H13:H43,$B$7+1)</f>
        <v>1.2379400392853804E-3</v>
      </c>
    </row>
    <row r="6" spans="1:11" ht="15">
      <c r="A6" s="6" t="s">
        <v>10</v>
      </c>
      <c r="B6" s="7">
        <v>0.1</v>
      </c>
      <c r="C6" s="8" t="s">
        <v>11</v>
      </c>
      <c r="E6" s="1" t="s">
        <v>12</v>
      </c>
      <c r="F6" s="35" t="str">
        <f>IF(J5&lt;$B$8,"수렴","미수렴/확인 필요")</f>
        <v>미수렴/확인 필요</v>
      </c>
      <c r="G6" s="35"/>
      <c r="H6" s="12"/>
      <c r="I6" s="34" t="s">
        <v>13</v>
      </c>
      <c r="J6" s="35" t="str">
        <f>IF($B$6&gt;=1,"α가 너무 클 수 있음","α 변경 실험")</f>
        <v>α 변경 실험</v>
      </c>
    </row>
    <row r="7" spans="1:11" ht="15">
      <c r="A7" s="6" t="s">
        <v>14</v>
      </c>
      <c r="B7" s="7">
        <v>30</v>
      </c>
      <c r="C7" s="8" t="s">
        <v>15</v>
      </c>
    </row>
    <row r="8" spans="1:11" ht="15">
      <c r="A8" s="9" t="s">
        <v>16</v>
      </c>
      <c r="B8" s="10">
        <v>9.9999999999999995E-7</v>
      </c>
      <c r="C8" s="11" t="s">
        <v>17</v>
      </c>
      <c r="E8" s="44" t="s">
        <v>50</v>
      </c>
      <c r="F8">
        <f>0</f>
        <v>0</v>
      </c>
    </row>
    <row r="9" spans="1:11" ht="15">
      <c r="A9" s="44"/>
      <c r="B9" s="46"/>
      <c r="C9" s="45"/>
    </row>
    <row r="11" spans="1:11" ht="15">
      <c r="A11" s="51" t="s">
        <v>18</v>
      </c>
      <c r="B11" s="48"/>
      <c r="C11" s="48"/>
      <c r="D11" s="48"/>
      <c r="E11" s="48"/>
      <c r="F11" s="48"/>
      <c r="G11" s="48"/>
      <c r="H11" s="48"/>
    </row>
    <row r="12" spans="1:11" ht="16.5">
      <c r="A12" s="13" t="s">
        <v>19</v>
      </c>
      <c r="B12" s="14" t="s">
        <v>20</v>
      </c>
      <c r="C12" s="14" t="s">
        <v>21</v>
      </c>
      <c r="D12" s="14" t="s">
        <v>22</v>
      </c>
      <c r="E12" s="14" t="s">
        <v>23</v>
      </c>
      <c r="F12" s="14" t="s">
        <v>24</v>
      </c>
      <c r="G12" s="37" t="s">
        <v>47</v>
      </c>
      <c r="H12" s="15" t="s">
        <v>45</v>
      </c>
    </row>
    <row r="13" spans="1:11">
      <c r="A13" s="16">
        <v>0</v>
      </c>
      <c r="B13" s="17">
        <f t="shared" ref="B13:B43" si="0">B5</f>
        <v>5</v>
      </c>
      <c r="C13" s="17">
        <f>GDIterationTable[[#This Row],[x_k]]*2</f>
        <v>10</v>
      </c>
      <c r="D13" s="17">
        <f>GDIterationTable[[#This Row],[x_k]]^2+1</f>
        <v>26</v>
      </c>
      <c r="E13" s="17">
        <f>GDIterationTable[[#This Row],[x_k]]-$B$6*GDIterationTable[[#This Row],[gradient 2x_k]]</f>
        <v>4</v>
      </c>
      <c r="F13" s="17">
        <f>GDIterationTable[[#This Row],[x_{k+1}=x_k-α·2x_k]]-GDIterationTable[[#This Row],[x_k]]</f>
        <v>-1</v>
      </c>
      <c r="G13" s="29">
        <f>$F$8-GDIterationTable[[#This Row],[x_k]]</f>
        <v>-5</v>
      </c>
      <c r="H13" s="18">
        <f>ABS(GDIterationTable[[#This Row],[변화량 Δx]])</f>
        <v>1</v>
      </c>
    </row>
    <row r="14" spans="1:11">
      <c r="A14" s="16">
        <v>1</v>
      </c>
      <c r="B14" s="17">
        <f>E13</f>
        <v>4</v>
      </c>
      <c r="C14" s="17">
        <f>GDIterationTable[[#This Row],[x_k]]*2</f>
        <v>8</v>
      </c>
      <c r="D14" s="17">
        <f>GDIterationTable[[#This Row],[x_k]]^2+1</f>
        <v>17</v>
      </c>
      <c r="E14" s="17">
        <f>GDIterationTable[[#This Row],[x_k]]-$B$6*GDIterationTable[[#This Row],[gradient 2x_k]]</f>
        <v>3.2</v>
      </c>
      <c r="F14" s="17">
        <f>GDIterationTable[[#This Row],[x_{k+1}=x_k-α·2x_k]]-GDIterationTable[[#This Row],[x_k]]</f>
        <v>-0.79999999999999982</v>
      </c>
      <c r="G14" s="29">
        <f>$F$8-GDIterationTable[[#This Row],[x_k]]</f>
        <v>-4</v>
      </c>
      <c r="H14" s="18">
        <f>ABS(GDIterationTable[[#This Row],[변화량 Δx]])</f>
        <v>0.79999999999999982</v>
      </c>
    </row>
    <row r="15" spans="1:11">
      <c r="A15" s="16">
        <v>2</v>
      </c>
      <c r="B15" s="17">
        <f t="shared" ref="B15:B43" si="1">E14</f>
        <v>3.2</v>
      </c>
      <c r="C15" s="17">
        <f>GDIterationTable[[#This Row],[x_k]]*2</f>
        <v>6.4</v>
      </c>
      <c r="D15" s="17">
        <f>GDIterationTable[[#This Row],[x_k]]^2+1</f>
        <v>11.240000000000002</v>
      </c>
      <c r="E15" s="17">
        <f>GDIterationTable[[#This Row],[x_k]]-$B$6*GDIterationTable[[#This Row],[gradient 2x_k]]</f>
        <v>2.56</v>
      </c>
      <c r="F15" s="17">
        <f>GDIterationTable[[#This Row],[x_{k+1}=x_k-α·2x_k]]-GDIterationTable[[#This Row],[x_k]]</f>
        <v>-0.64000000000000012</v>
      </c>
      <c r="G15" s="29">
        <f>$F$8-GDIterationTable[[#This Row],[x_k]]</f>
        <v>-3.2</v>
      </c>
      <c r="H15" s="18">
        <f>ABS(GDIterationTable[[#This Row],[변화량 Δx]])</f>
        <v>0.64000000000000012</v>
      </c>
    </row>
    <row r="16" spans="1:11">
      <c r="A16" s="16">
        <v>3</v>
      </c>
      <c r="B16" s="17">
        <f t="shared" si="1"/>
        <v>2.56</v>
      </c>
      <c r="C16" s="17">
        <f>GDIterationTable[[#This Row],[x_k]]*2</f>
        <v>5.12</v>
      </c>
      <c r="D16" s="17">
        <f>GDIterationTable[[#This Row],[x_k]]^2+1</f>
        <v>7.5536000000000003</v>
      </c>
      <c r="E16" s="17">
        <f>GDIterationTable[[#This Row],[x_k]]-$B$6*GDIterationTable[[#This Row],[gradient 2x_k]]</f>
        <v>2.048</v>
      </c>
      <c r="F16" s="17">
        <f>GDIterationTable[[#This Row],[x_{k+1}=x_k-α·2x_k]]-GDIterationTable[[#This Row],[x_k]]</f>
        <v>-0.51200000000000001</v>
      </c>
      <c r="G16" s="29">
        <f>$F$8-GDIterationTable[[#This Row],[x_k]]</f>
        <v>-2.56</v>
      </c>
      <c r="H16" s="18">
        <f>ABS(GDIterationTable[[#This Row],[변화량 Δx]])</f>
        <v>0.51200000000000001</v>
      </c>
    </row>
    <row r="17" spans="1:8">
      <c r="A17" s="16">
        <v>4</v>
      </c>
      <c r="B17" s="17">
        <f t="shared" si="1"/>
        <v>2.048</v>
      </c>
      <c r="C17" s="17">
        <f>GDIterationTable[[#This Row],[x_k]]*2</f>
        <v>4.0960000000000001</v>
      </c>
      <c r="D17" s="17">
        <f>GDIterationTable[[#This Row],[x_k]]^2+1</f>
        <v>5.1943039999999998</v>
      </c>
      <c r="E17" s="17">
        <f>GDIterationTable[[#This Row],[x_k]]-$B$6*GDIterationTable[[#This Row],[gradient 2x_k]]</f>
        <v>1.6384000000000001</v>
      </c>
      <c r="F17" s="17">
        <f>GDIterationTable[[#This Row],[x_{k+1}=x_k-α·2x_k]]-GDIterationTable[[#This Row],[x_k]]</f>
        <v>-0.40959999999999996</v>
      </c>
      <c r="G17" s="29">
        <f>$F$8-GDIterationTable[[#This Row],[x_k]]</f>
        <v>-2.048</v>
      </c>
      <c r="H17" s="18">
        <f>ABS(GDIterationTable[[#This Row],[변화량 Δx]])</f>
        <v>0.40959999999999996</v>
      </c>
    </row>
    <row r="18" spans="1:8">
      <c r="A18" s="16">
        <v>5</v>
      </c>
      <c r="B18" s="17">
        <f t="shared" si="1"/>
        <v>1.6384000000000001</v>
      </c>
      <c r="C18" s="17">
        <f>GDIterationTable[[#This Row],[x_k]]*2</f>
        <v>3.2768000000000002</v>
      </c>
      <c r="D18" s="17">
        <f>GDIterationTable[[#This Row],[x_k]]^2+1</f>
        <v>3.6843545600000001</v>
      </c>
      <c r="E18" s="17">
        <f>GDIterationTable[[#This Row],[x_k]]-$B$6*GDIterationTable[[#This Row],[gradient 2x_k]]</f>
        <v>1.3107200000000001</v>
      </c>
      <c r="F18" s="17">
        <f>GDIterationTable[[#This Row],[x_{k+1}=x_k-α·2x_k]]-GDIterationTable[[#This Row],[x_k]]</f>
        <v>-0.32767999999999997</v>
      </c>
      <c r="G18" s="29">
        <f>$F$8-GDIterationTable[[#This Row],[x_k]]</f>
        <v>-1.6384000000000001</v>
      </c>
      <c r="H18" s="18">
        <f>ABS(GDIterationTable[[#This Row],[변화량 Δx]])</f>
        <v>0.32767999999999997</v>
      </c>
    </row>
    <row r="19" spans="1:8">
      <c r="A19" s="16">
        <v>6</v>
      </c>
      <c r="B19" s="17">
        <f t="shared" si="1"/>
        <v>1.3107200000000001</v>
      </c>
      <c r="C19" s="17">
        <f>GDIterationTable[[#This Row],[x_k]]*2</f>
        <v>2.6214400000000002</v>
      </c>
      <c r="D19" s="17">
        <f>GDIterationTable[[#This Row],[x_k]]^2+1</f>
        <v>2.7179869184000003</v>
      </c>
      <c r="E19" s="17">
        <f>GDIterationTable[[#This Row],[x_k]]-$B$6*GDIterationTable[[#This Row],[gradient 2x_k]]</f>
        <v>1.0485760000000002</v>
      </c>
      <c r="F19" s="17">
        <f>GDIterationTable[[#This Row],[x_{k+1}=x_k-α·2x_k]]-GDIterationTable[[#This Row],[x_k]]</f>
        <v>-0.26214399999999993</v>
      </c>
      <c r="G19" s="29">
        <f>$F$8-GDIterationTable[[#This Row],[x_k]]</f>
        <v>-1.3107200000000001</v>
      </c>
      <c r="H19" s="18">
        <f>ABS(GDIterationTable[[#This Row],[변화량 Δx]])</f>
        <v>0.26214399999999993</v>
      </c>
    </row>
    <row r="20" spans="1:8">
      <c r="A20" s="16">
        <v>7</v>
      </c>
      <c r="B20" s="17">
        <f t="shared" si="1"/>
        <v>1.0485760000000002</v>
      </c>
      <c r="C20" s="17">
        <f>GDIterationTable[[#This Row],[x_k]]*2</f>
        <v>2.0971520000000003</v>
      </c>
      <c r="D20" s="17">
        <f>GDIterationTable[[#This Row],[x_k]]^2+1</f>
        <v>2.0995116277760006</v>
      </c>
      <c r="E20" s="17">
        <f>GDIterationTable[[#This Row],[x_k]]-$B$6*GDIterationTable[[#This Row],[gradient 2x_k]]</f>
        <v>0.83886080000000018</v>
      </c>
      <c r="F20" s="17">
        <f>GDIterationTable[[#This Row],[x_{k+1}=x_k-α·2x_k]]-GDIterationTable[[#This Row],[x_k]]</f>
        <v>-0.20971519999999999</v>
      </c>
      <c r="G20" s="29">
        <f>$F$8-GDIterationTable[[#This Row],[x_k]]</f>
        <v>-1.0485760000000002</v>
      </c>
      <c r="H20" s="18">
        <f>ABS(GDIterationTable[[#This Row],[변화량 Δx]])</f>
        <v>0.20971519999999999</v>
      </c>
    </row>
    <row r="21" spans="1:8">
      <c r="A21" s="16">
        <v>8</v>
      </c>
      <c r="B21" s="17">
        <f t="shared" si="1"/>
        <v>0.83886080000000018</v>
      </c>
      <c r="C21" s="17">
        <f>GDIterationTable[[#This Row],[x_k]]*2</f>
        <v>1.6777216000000004</v>
      </c>
      <c r="D21" s="17">
        <f>GDIterationTable[[#This Row],[x_k]]^2+1</f>
        <v>1.7036874417766403</v>
      </c>
      <c r="E21" s="17">
        <f>GDIterationTable[[#This Row],[x_k]]-$B$6*GDIterationTable[[#This Row],[gradient 2x_k]]</f>
        <v>0.67108864000000013</v>
      </c>
      <c r="F21" s="17">
        <f>GDIterationTable[[#This Row],[x_{k+1}=x_k-α·2x_k]]-GDIterationTable[[#This Row],[x_k]]</f>
        <v>-0.16777216000000006</v>
      </c>
      <c r="G21" s="29">
        <f>$F$8-GDIterationTable[[#This Row],[x_k]]</f>
        <v>-0.83886080000000018</v>
      </c>
      <c r="H21" s="18">
        <f>ABS(GDIterationTable[[#This Row],[변화량 Δx]])</f>
        <v>0.16777216000000006</v>
      </c>
    </row>
    <row r="22" spans="1:8">
      <c r="A22" s="16">
        <v>9</v>
      </c>
      <c r="B22" s="17">
        <f t="shared" si="1"/>
        <v>0.67108864000000013</v>
      </c>
      <c r="C22" s="17">
        <f>GDIterationTable[[#This Row],[x_k]]*2</f>
        <v>1.3421772800000003</v>
      </c>
      <c r="D22" s="17">
        <f>GDIterationTable[[#This Row],[x_k]]^2+1</f>
        <v>1.4503599627370498</v>
      </c>
      <c r="E22" s="17">
        <f>GDIterationTable[[#This Row],[x_k]]-$B$6*GDIterationTable[[#This Row],[gradient 2x_k]]</f>
        <v>0.53687091200000014</v>
      </c>
      <c r="F22" s="17">
        <f>GDIterationTable[[#This Row],[x_{k+1}=x_k-α·2x_k]]-GDIterationTable[[#This Row],[x_k]]</f>
        <v>-0.13421772799999998</v>
      </c>
      <c r="G22" s="29">
        <f>$F$8-GDIterationTable[[#This Row],[x_k]]</f>
        <v>-0.67108864000000013</v>
      </c>
      <c r="H22" s="18">
        <f>ABS(GDIterationTable[[#This Row],[변화량 Δx]])</f>
        <v>0.13421772799999998</v>
      </c>
    </row>
    <row r="23" spans="1:8">
      <c r="A23" s="16">
        <v>10</v>
      </c>
      <c r="B23" s="17">
        <f t="shared" si="1"/>
        <v>0.53687091200000014</v>
      </c>
      <c r="C23" s="17">
        <f>GDIterationTable[[#This Row],[x_k]]*2</f>
        <v>1.0737418240000003</v>
      </c>
      <c r="D23" s="17">
        <f>GDIterationTable[[#This Row],[x_k]]^2+1</f>
        <v>1.288230376151712</v>
      </c>
      <c r="E23" s="17">
        <f>GDIterationTable[[#This Row],[x_k]]-$B$6*GDIterationTable[[#This Row],[gradient 2x_k]]</f>
        <v>0.42949672960000013</v>
      </c>
      <c r="F23" s="17">
        <f>GDIterationTable[[#This Row],[x_{k+1}=x_k-α·2x_k]]-GDIterationTable[[#This Row],[x_k]]</f>
        <v>-0.10737418240000002</v>
      </c>
      <c r="G23" s="29">
        <f>$F$8-GDIterationTable[[#This Row],[x_k]]</f>
        <v>-0.53687091200000014</v>
      </c>
      <c r="H23" s="18">
        <f>ABS(GDIterationTable[[#This Row],[변화량 Δx]])</f>
        <v>0.10737418240000002</v>
      </c>
    </row>
    <row r="24" spans="1:8">
      <c r="A24" s="16">
        <v>11</v>
      </c>
      <c r="B24" s="17">
        <f t="shared" si="1"/>
        <v>0.42949672960000013</v>
      </c>
      <c r="C24" s="17">
        <f>GDIterationTable[[#This Row],[x_k]]*2</f>
        <v>0.85899345920000025</v>
      </c>
      <c r="D24" s="17">
        <f>GDIterationTable[[#This Row],[x_k]]^2+1</f>
        <v>1.1844674407370956</v>
      </c>
      <c r="E24" s="17">
        <f>GDIterationTable[[#This Row],[x_k]]-$B$6*GDIterationTable[[#This Row],[gradient 2x_k]]</f>
        <v>0.34359738368000009</v>
      </c>
      <c r="F24" s="17">
        <f>GDIterationTable[[#This Row],[x_{k+1}=x_k-α·2x_k]]-GDIterationTable[[#This Row],[x_k]]</f>
        <v>-8.5899345920000036E-2</v>
      </c>
      <c r="G24" s="29">
        <f>$F$8-GDIterationTable[[#This Row],[x_k]]</f>
        <v>-0.42949672960000013</v>
      </c>
      <c r="H24" s="18">
        <f>ABS(GDIterationTable[[#This Row],[변화량 Δx]])</f>
        <v>8.5899345920000036E-2</v>
      </c>
    </row>
    <row r="25" spans="1:8">
      <c r="A25" s="16">
        <v>12</v>
      </c>
      <c r="B25" s="17">
        <f t="shared" si="1"/>
        <v>0.34359738368000009</v>
      </c>
      <c r="C25" s="17">
        <f>GDIterationTable[[#This Row],[x_k]]*2</f>
        <v>0.68719476736000018</v>
      </c>
      <c r="D25" s="17">
        <f>GDIterationTable[[#This Row],[x_k]]^2+1</f>
        <v>1.1180591620717413</v>
      </c>
      <c r="E25" s="17">
        <f>GDIterationTable[[#This Row],[x_k]]-$B$6*GDIterationTable[[#This Row],[gradient 2x_k]]</f>
        <v>0.27487790694400005</v>
      </c>
      <c r="F25" s="17">
        <f>GDIterationTable[[#This Row],[x_{k+1}=x_k-α·2x_k]]-GDIterationTable[[#This Row],[x_k]]</f>
        <v>-6.871947673600004E-2</v>
      </c>
      <c r="G25" s="29">
        <f>$F$8-GDIterationTable[[#This Row],[x_k]]</f>
        <v>-0.34359738368000009</v>
      </c>
      <c r="H25" s="18">
        <f>ABS(GDIterationTable[[#This Row],[변화량 Δx]])</f>
        <v>6.871947673600004E-2</v>
      </c>
    </row>
    <row r="26" spans="1:8">
      <c r="A26" s="16">
        <v>13</v>
      </c>
      <c r="B26" s="17">
        <f t="shared" si="1"/>
        <v>0.27487790694400005</v>
      </c>
      <c r="C26" s="17">
        <f>GDIterationTable[[#This Row],[x_k]]*2</f>
        <v>0.5497558138880001</v>
      </c>
      <c r="D26" s="17">
        <f>GDIterationTable[[#This Row],[x_k]]^2+1</f>
        <v>1.0755578637259144</v>
      </c>
      <c r="E26" s="17">
        <f>GDIterationTable[[#This Row],[x_k]]-$B$6*GDIterationTable[[#This Row],[gradient 2x_k]]</f>
        <v>0.21990232555520003</v>
      </c>
      <c r="F26" s="17">
        <f>GDIterationTable[[#This Row],[x_{k+1}=x_k-α·2x_k]]-GDIterationTable[[#This Row],[x_k]]</f>
        <v>-5.4975581388800016E-2</v>
      </c>
      <c r="G26" s="29">
        <f>$F$8-GDIterationTable[[#This Row],[x_k]]</f>
        <v>-0.27487790694400005</v>
      </c>
      <c r="H26" s="18">
        <f>ABS(GDIterationTable[[#This Row],[변화량 Δx]])</f>
        <v>5.4975581388800016E-2</v>
      </c>
    </row>
    <row r="27" spans="1:8">
      <c r="A27" s="16">
        <v>14</v>
      </c>
      <c r="B27" s="17">
        <f t="shared" si="1"/>
        <v>0.21990232555520003</v>
      </c>
      <c r="C27" s="17">
        <f>GDIterationTable[[#This Row],[x_k]]*2</f>
        <v>0.43980465111040007</v>
      </c>
      <c r="D27" s="17">
        <f>GDIterationTable[[#This Row],[x_k]]^2+1</f>
        <v>1.0483570327845853</v>
      </c>
      <c r="E27" s="17">
        <f>GDIterationTable[[#This Row],[x_k]]-$B$6*GDIterationTable[[#This Row],[gradient 2x_k]]</f>
        <v>0.17592186044416003</v>
      </c>
      <c r="F27" s="17">
        <f>GDIterationTable[[#This Row],[x_{k+1}=x_k-α·2x_k]]-GDIterationTable[[#This Row],[x_k]]</f>
        <v>-4.3980465111040007E-2</v>
      </c>
      <c r="G27" s="29">
        <f>$F$8-GDIterationTable[[#This Row],[x_k]]</f>
        <v>-0.21990232555520003</v>
      </c>
      <c r="H27" s="18">
        <f>ABS(GDIterationTable[[#This Row],[변화량 Δx]])</f>
        <v>4.3980465111040007E-2</v>
      </c>
    </row>
    <row r="28" spans="1:8">
      <c r="A28" s="16">
        <v>15</v>
      </c>
      <c r="B28" s="17">
        <f t="shared" si="1"/>
        <v>0.17592186044416003</v>
      </c>
      <c r="C28" s="17">
        <f>GDIterationTable[[#This Row],[x_k]]*2</f>
        <v>0.35184372088832006</v>
      </c>
      <c r="D28" s="17">
        <f>GDIterationTable[[#This Row],[x_k]]^2+1</f>
        <v>1.0309485009821344</v>
      </c>
      <c r="E28" s="17">
        <f>GDIterationTable[[#This Row],[x_k]]-$B$6*GDIterationTable[[#This Row],[gradient 2x_k]]</f>
        <v>0.14073748835532801</v>
      </c>
      <c r="F28" s="17">
        <f>GDIterationTable[[#This Row],[x_{k+1}=x_k-α·2x_k]]-GDIterationTable[[#This Row],[x_k]]</f>
        <v>-3.5184372088832017E-2</v>
      </c>
      <c r="G28" s="29">
        <f>$F$8-GDIterationTable[[#This Row],[x_k]]</f>
        <v>-0.17592186044416003</v>
      </c>
      <c r="H28" s="18">
        <f>ABS(GDIterationTable[[#This Row],[변화량 Δx]])</f>
        <v>3.5184372088832017E-2</v>
      </c>
    </row>
    <row r="29" spans="1:8">
      <c r="A29" s="16">
        <v>16</v>
      </c>
      <c r="B29" s="17">
        <f t="shared" si="1"/>
        <v>0.14073748835532801</v>
      </c>
      <c r="C29" s="17">
        <f>GDIterationTable[[#This Row],[x_k]]*2</f>
        <v>0.28147497671065602</v>
      </c>
      <c r="D29" s="17">
        <f>GDIterationTable[[#This Row],[x_k]]^2+1</f>
        <v>1.019807040628566</v>
      </c>
      <c r="E29" s="17">
        <f>GDIterationTable[[#This Row],[x_k]]-$B$6*GDIterationTable[[#This Row],[gradient 2x_k]]</f>
        <v>0.11258999068426241</v>
      </c>
      <c r="F29" s="17">
        <f>GDIterationTable[[#This Row],[x_{k+1}=x_k-α·2x_k]]-GDIterationTable[[#This Row],[x_k]]</f>
        <v>-2.8147497671065599E-2</v>
      </c>
      <c r="G29" s="29">
        <f>$F$8-GDIterationTable[[#This Row],[x_k]]</f>
        <v>-0.14073748835532801</v>
      </c>
      <c r="H29" s="18">
        <f>ABS(GDIterationTable[[#This Row],[변화량 Δx]])</f>
        <v>2.8147497671065599E-2</v>
      </c>
    </row>
    <row r="30" spans="1:8">
      <c r="A30" s="16">
        <v>17</v>
      </c>
      <c r="B30" s="17">
        <f t="shared" si="1"/>
        <v>0.11258999068426241</v>
      </c>
      <c r="C30" s="17">
        <f>GDIterationTable[[#This Row],[x_k]]*2</f>
        <v>0.22517998136852482</v>
      </c>
      <c r="D30" s="17">
        <f>GDIterationTable[[#This Row],[x_k]]^2+1</f>
        <v>1.0126765060022822</v>
      </c>
      <c r="E30" s="17">
        <f>GDIterationTable[[#This Row],[x_k]]-$B$6*GDIterationTable[[#This Row],[gradient 2x_k]]</f>
        <v>9.0071992547409926E-2</v>
      </c>
      <c r="F30" s="17">
        <f>GDIterationTable[[#This Row],[x_{k+1}=x_k-α·2x_k]]-GDIterationTable[[#This Row],[x_k]]</f>
        <v>-2.2517998136852485E-2</v>
      </c>
      <c r="G30" s="29">
        <f>$F$8-GDIterationTable[[#This Row],[x_k]]</f>
        <v>-0.11258999068426241</v>
      </c>
      <c r="H30" s="18">
        <f>ABS(GDIterationTable[[#This Row],[변화량 Δx]])</f>
        <v>2.2517998136852485E-2</v>
      </c>
    </row>
    <row r="31" spans="1:8">
      <c r="A31" s="16">
        <v>18</v>
      </c>
      <c r="B31" s="17">
        <f t="shared" si="1"/>
        <v>9.0071992547409926E-2</v>
      </c>
      <c r="C31" s="17">
        <f>GDIterationTable[[#This Row],[x_k]]*2</f>
        <v>0.18014398509481985</v>
      </c>
      <c r="D31" s="17">
        <f>GDIterationTable[[#This Row],[x_k]]^2+1</f>
        <v>1.0081129638414608</v>
      </c>
      <c r="E31" s="17">
        <f>GDIterationTable[[#This Row],[x_k]]-$B$6*GDIterationTable[[#This Row],[gradient 2x_k]]</f>
        <v>7.2057594037927941E-2</v>
      </c>
      <c r="F31" s="17">
        <f>GDIterationTable[[#This Row],[x_{k+1}=x_k-α·2x_k]]-GDIterationTable[[#This Row],[x_k]]</f>
        <v>-1.8014398509481985E-2</v>
      </c>
      <c r="G31" s="29">
        <f>$F$8-GDIterationTable[[#This Row],[x_k]]</f>
        <v>-9.0071992547409926E-2</v>
      </c>
      <c r="H31" s="18">
        <f>ABS(GDIterationTable[[#This Row],[변화량 Δx]])</f>
        <v>1.8014398509481985E-2</v>
      </c>
    </row>
    <row r="32" spans="1:8">
      <c r="A32" s="16">
        <v>19</v>
      </c>
      <c r="B32" s="17">
        <f t="shared" si="1"/>
        <v>7.2057594037927941E-2</v>
      </c>
      <c r="C32" s="17">
        <f>GDIterationTable[[#This Row],[x_k]]*2</f>
        <v>0.14411518807585588</v>
      </c>
      <c r="D32" s="17">
        <f>GDIterationTable[[#This Row],[x_k]]^2+1</f>
        <v>1.0051922968585347</v>
      </c>
      <c r="E32" s="17">
        <f>GDIterationTable[[#This Row],[x_k]]-$B$6*GDIterationTable[[#This Row],[gradient 2x_k]]</f>
        <v>5.7646075230342354E-2</v>
      </c>
      <c r="F32" s="17">
        <f>GDIterationTable[[#This Row],[x_{k+1}=x_k-α·2x_k]]-GDIterationTable[[#This Row],[x_k]]</f>
        <v>-1.4411518807585587E-2</v>
      </c>
      <c r="G32" s="29">
        <f>$F$8-GDIterationTable[[#This Row],[x_k]]</f>
        <v>-7.2057594037927941E-2</v>
      </c>
      <c r="H32" s="18">
        <f>ABS(GDIterationTable[[#This Row],[변화량 Δx]])</f>
        <v>1.4411518807585587E-2</v>
      </c>
    </row>
    <row r="33" spans="1:8">
      <c r="A33" s="16">
        <v>20</v>
      </c>
      <c r="B33" s="17">
        <f t="shared" si="1"/>
        <v>5.7646075230342354E-2</v>
      </c>
      <c r="C33" s="17">
        <f>GDIterationTable[[#This Row],[x_k]]*2</f>
        <v>0.11529215046068471</v>
      </c>
      <c r="D33" s="17">
        <f>GDIterationTable[[#This Row],[x_k]]^2+1</f>
        <v>1.0033230699894622</v>
      </c>
      <c r="E33" s="17">
        <f>GDIterationTable[[#This Row],[x_k]]-$B$6*GDIterationTable[[#This Row],[gradient 2x_k]]</f>
        <v>4.6116860184273883E-2</v>
      </c>
      <c r="F33" s="17">
        <f>GDIterationTable[[#This Row],[x_{k+1}=x_k-α·2x_k]]-GDIterationTable[[#This Row],[x_k]]</f>
        <v>-1.1529215046068471E-2</v>
      </c>
      <c r="G33" s="29">
        <f>$F$8-GDIterationTable[[#This Row],[x_k]]</f>
        <v>-5.7646075230342354E-2</v>
      </c>
      <c r="H33" s="18">
        <f>ABS(GDIterationTable[[#This Row],[변화량 Δx]])</f>
        <v>1.1529215046068471E-2</v>
      </c>
    </row>
    <row r="34" spans="1:8">
      <c r="A34" s="16">
        <v>21</v>
      </c>
      <c r="B34" s="17">
        <f t="shared" si="1"/>
        <v>4.6116860184273883E-2</v>
      </c>
      <c r="C34" s="17">
        <f>GDIterationTable[[#This Row],[x_k]]*2</f>
        <v>9.2233720368547767E-2</v>
      </c>
      <c r="D34" s="17">
        <f>GDIterationTable[[#This Row],[x_k]]^2+1</f>
        <v>1.0021267647932559</v>
      </c>
      <c r="E34" s="17">
        <f>GDIterationTable[[#This Row],[x_k]]-$B$6*GDIterationTable[[#This Row],[gradient 2x_k]]</f>
        <v>3.6893488147419107E-2</v>
      </c>
      <c r="F34" s="17">
        <f>GDIterationTable[[#This Row],[x_{k+1}=x_k-α·2x_k]]-GDIterationTable[[#This Row],[x_k]]</f>
        <v>-9.2233720368547767E-3</v>
      </c>
      <c r="G34" s="29">
        <f>$F$8-GDIterationTable[[#This Row],[x_k]]</f>
        <v>-4.6116860184273883E-2</v>
      </c>
      <c r="H34" s="18">
        <f>ABS(GDIterationTable[[#This Row],[변화량 Δx]])</f>
        <v>9.2233720368547767E-3</v>
      </c>
    </row>
    <row r="35" spans="1:8">
      <c r="A35" s="16">
        <v>22</v>
      </c>
      <c r="B35" s="17">
        <f t="shared" si="1"/>
        <v>3.6893488147419107E-2</v>
      </c>
      <c r="C35" s="17">
        <f>GDIterationTable[[#This Row],[x_k]]*2</f>
        <v>7.3786976294838214E-2</v>
      </c>
      <c r="D35" s="17">
        <f>GDIterationTable[[#This Row],[x_k]]^2+1</f>
        <v>1.0013611294676839</v>
      </c>
      <c r="E35" s="17">
        <f>GDIterationTable[[#This Row],[x_k]]-$B$6*GDIterationTable[[#This Row],[gradient 2x_k]]</f>
        <v>2.9514790517935284E-2</v>
      </c>
      <c r="F35" s="17">
        <f>GDIterationTable[[#This Row],[x_{k+1}=x_k-α·2x_k]]-GDIterationTable[[#This Row],[x_k]]</f>
        <v>-7.3786976294838227E-3</v>
      </c>
      <c r="G35" s="29">
        <f>$F$8-GDIterationTable[[#This Row],[x_k]]</f>
        <v>-3.6893488147419107E-2</v>
      </c>
      <c r="H35" s="18">
        <f>ABS(GDIterationTable[[#This Row],[변화량 Δx]])</f>
        <v>7.3786976294838227E-3</v>
      </c>
    </row>
    <row r="36" spans="1:8">
      <c r="A36" s="16">
        <v>23</v>
      </c>
      <c r="B36" s="17">
        <f t="shared" si="1"/>
        <v>2.9514790517935284E-2</v>
      </c>
      <c r="C36" s="17">
        <f>GDIterationTable[[#This Row],[x_k]]*2</f>
        <v>5.9029581035870568E-2</v>
      </c>
      <c r="D36" s="17">
        <f>GDIterationTable[[#This Row],[x_k]]^2+1</f>
        <v>1.0008711228593177</v>
      </c>
      <c r="E36" s="17">
        <f>GDIterationTable[[#This Row],[x_k]]-$B$6*GDIterationTable[[#This Row],[gradient 2x_k]]</f>
        <v>2.3611832414348229E-2</v>
      </c>
      <c r="F36" s="17">
        <f>GDIterationTable[[#This Row],[x_{k+1}=x_k-α·2x_k]]-GDIterationTable[[#This Row],[x_k]]</f>
        <v>-5.9029581035870554E-3</v>
      </c>
      <c r="G36" s="29">
        <f>$F$8-GDIterationTable[[#This Row],[x_k]]</f>
        <v>-2.9514790517935284E-2</v>
      </c>
      <c r="H36" s="18">
        <f>ABS(GDIterationTable[[#This Row],[변화량 Δx]])</f>
        <v>5.9029581035870554E-3</v>
      </c>
    </row>
    <row r="37" spans="1:8">
      <c r="A37" s="16">
        <v>24</v>
      </c>
      <c r="B37" s="17">
        <f t="shared" si="1"/>
        <v>2.3611832414348229E-2</v>
      </c>
      <c r="C37" s="17">
        <f>GDIterationTable[[#This Row],[x_k]]*2</f>
        <v>4.7223664828696457E-2</v>
      </c>
      <c r="D37" s="17">
        <f>GDIterationTable[[#This Row],[x_k]]^2+1</f>
        <v>1.0005575186299633</v>
      </c>
      <c r="E37" s="17">
        <f>GDIterationTable[[#This Row],[x_k]]-$B$6*GDIterationTable[[#This Row],[gradient 2x_k]]</f>
        <v>1.8889465931478583E-2</v>
      </c>
      <c r="F37" s="17">
        <f>GDIterationTable[[#This Row],[x_{k+1}=x_k-α·2x_k]]-GDIterationTable[[#This Row],[x_k]]</f>
        <v>-4.7223664828696457E-3</v>
      </c>
      <c r="G37" s="29">
        <f>$F$8-GDIterationTable[[#This Row],[x_k]]</f>
        <v>-2.3611832414348229E-2</v>
      </c>
      <c r="H37" s="18">
        <f>ABS(GDIterationTable[[#This Row],[변화량 Δx]])</f>
        <v>4.7223664828696457E-3</v>
      </c>
    </row>
    <row r="38" spans="1:8">
      <c r="A38" s="16">
        <v>25</v>
      </c>
      <c r="B38" s="17">
        <f t="shared" si="1"/>
        <v>1.8889465931478583E-2</v>
      </c>
      <c r="C38" s="17">
        <f>GDIterationTable[[#This Row],[x_k]]*2</f>
        <v>3.7778931862957166E-2</v>
      </c>
      <c r="D38" s="17">
        <f>GDIterationTable[[#This Row],[x_k]]^2+1</f>
        <v>1.0003568119231765</v>
      </c>
      <c r="E38" s="17">
        <f>GDIterationTable[[#This Row],[x_k]]-$B$6*GDIterationTable[[#This Row],[gradient 2x_k]]</f>
        <v>1.5111572745182867E-2</v>
      </c>
      <c r="F38" s="17">
        <f>GDIterationTable[[#This Row],[x_{k+1}=x_k-α·2x_k]]-GDIterationTable[[#This Row],[x_k]]</f>
        <v>-3.7778931862957159E-3</v>
      </c>
      <c r="G38" s="29">
        <f>$F$8-GDIterationTable[[#This Row],[x_k]]</f>
        <v>-1.8889465931478583E-2</v>
      </c>
      <c r="H38" s="18">
        <f>ABS(GDIterationTable[[#This Row],[변화량 Δx]])</f>
        <v>3.7778931862957159E-3</v>
      </c>
    </row>
    <row r="39" spans="1:8">
      <c r="A39" s="16">
        <v>26</v>
      </c>
      <c r="B39" s="17">
        <f t="shared" si="1"/>
        <v>1.5111572745182867E-2</v>
      </c>
      <c r="C39" s="17">
        <f>GDIterationTable[[#This Row],[x_k]]*2</f>
        <v>3.0223145490365734E-2</v>
      </c>
      <c r="D39" s="17">
        <f>GDIterationTable[[#This Row],[x_k]]^2+1</f>
        <v>1.000228359630833</v>
      </c>
      <c r="E39" s="17">
        <f>GDIterationTable[[#This Row],[x_k]]-$B$6*GDIterationTable[[#This Row],[gradient 2x_k]]</f>
        <v>1.2089258196146294E-2</v>
      </c>
      <c r="F39" s="17">
        <f>GDIterationTable[[#This Row],[x_{k+1}=x_k-α·2x_k]]-GDIterationTable[[#This Row],[x_k]]</f>
        <v>-3.0223145490365731E-3</v>
      </c>
      <c r="G39" s="29">
        <f>$F$8-GDIterationTable[[#This Row],[x_k]]</f>
        <v>-1.5111572745182867E-2</v>
      </c>
      <c r="H39" s="18">
        <f>ABS(GDIterationTable[[#This Row],[변화량 Δx]])</f>
        <v>3.0223145490365731E-3</v>
      </c>
    </row>
    <row r="40" spans="1:8">
      <c r="A40" s="16">
        <v>27</v>
      </c>
      <c r="B40" s="17">
        <f t="shared" si="1"/>
        <v>1.2089258196146294E-2</v>
      </c>
      <c r="C40" s="17">
        <f>GDIterationTable[[#This Row],[x_k]]*2</f>
        <v>2.4178516392292588E-2</v>
      </c>
      <c r="D40" s="17">
        <f>GDIterationTable[[#This Row],[x_k]]^2+1</f>
        <v>1.000146150163733</v>
      </c>
      <c r="E40" s="17">
        <f>GDIterationTable[[#This Row],[x_k]]-$B$6*GDIterationTable[[#This Row],[gradient 2x_k]]</f>
        <v>9.6714065569170355E-3</v>
      </c>
      <c r="F40" s="17">
        <f>GDIterationTable[[#This Row],[x_{k+1}=x_k-α·2x_k]]-GDIterationTable[[#This Row],[x_k]]</f>
        <v>-2.4178516392292584E-3</v>
      </c>
      <c r="G40" s="29">
        <f>$F$8-GDIterationTable[[#This Row],[x_k]]</f>
        <v>-1.2089258196146294E-2</v>
      </c>
      <c r="H40" s="18">
        <f>ABS(GDIterationTable[[#This Row],[변화량 Δx]])</f>
        <v>2.4178516392292584E-3</v>
      </c>
    </row>
    <row r="41" spans="1:8">
      <c r="A41" s="16">
        <v>28</v>
      </c>
      <c r="B41" s="17">
        <f t="shared" si="1"/>
        <v>9.6714065569170355E-3</v>
      </c>
      <c r="C41" s="17">
        <f>GDIterationTable[[#This Row],[x_k]]*2</f>
        <v>1.9342813113834071E-2</v>
      </c>
      <c r="D41" s="17">
        <f>GDIterationTable[[#This Row],[x_k]]^2+1</f>
        <v>1.0000935361047891</v>
      </c>
      <c r="E41" s="17">
        <f>GDIterationTable[[#This Row],[x_k]]-$B$6*GDIterationTable[[#This Row],[gradient 2x_k]]</f>
        <v>7.7371252455336282E-3</v>
      </c>
      <c r="F41" s="17">
        <f>GDIterationTable[[#This Row],[x_{k+1}=x_k-α·2x_k]]-GDIterationTable[[#This Row],[x_k]]</f>
        <v>-1.9342813113834073E-3</v>
      </c>
      <c r="G41" s="29">
        <f>$F$8-GDIterationTable[[#This Row],[x_k]]</f>
        <v>-9.6714065569170355E-3</v>
      </c>
      <c r="H41" s="18">
        <f>ABS(GDIterationTable[[#This Row],[변화량 Δx]])</f>
        <v>1.9342813113834073E-3</v>
      </c>
    </row>
    <row r="42" spans="1:8">
      <c r="A42" s="16">
        <v>29</v>
      </c>
      <c r="B42" s="17">
        <f t="shared" si="1"/>
        <v>7.7371252455336282E-3</v>
      </c>
      <c r="C42" s="17">
        <f>GDIterationTable[[#This Row],[x_k]]*2</f>
        <v>1.5474250491067256E-2</v>
      </c>
      <c r="D42" s="17">
        <f>GDIterationTable[[#This Row],[x_k]]^2+1</f>
        <v>1.0000598631070652</v>
      </c>
      <c r="E42" s="17">
        <f>GDIterationTable[[#This Row],[x_k]]-$B$6*GDIterationTable[[#This Row],[gradient 2x_k]]</f>
        <v>6.1897001964269028E-3</v>
      </c>
      <c r="F42" s="17">
        <f>GDIterationTable[[#This Row],[x_{k+1}=x_k-α·2x_k]]-GDIterationTable[[#This Row],[x_k]]</f>
        <v>-1.5474250491067255E-3</v>
      </c>
      <c r="G42" s="29">
        <f>$F$8-GDIterationTable[[#This Row],[x_k]]</f>
        <v>-7.7371252455336282E-3</v>
      </c>
      <c r="H42" s="18">
        <f>ABS(GDIterationTable[[#This Row],[변화량 Δx]])</f>
        <v>1.5474250491067255E-3</v>
      </c>
    </row>
    <row r="43" spans="1:8">
      <c r="A43" s="19">
        <v>30</v>
      </c>
      <c r="B43" s="17">
        <f t="shared" si="1"/>
        <v>6.1897001964269028E-3</v>
      </c>
      <c r="C43" s="20">
        <f>GDIterationTable[[#This Row],[x_k]]*2</f>
        <v>1.2379400392853806E-2</v>
      </c>
      <c r="D43" s="20">
        <f>GDIterationTable[[#This Row],[x_k]]^2+1</f>
        <v>1.0000383123885217</v>
      </c>
      <c r="E43" s="20">
        <f>GDIterationTable[[#This Row],[x_k]]-$B$6*GDIterationTable[[#This Row],[gradient 2x_k]]</f>
        <v>4.9517601571415224E-3</v>
      </c>
      <c r="F43" s="20">
        <f>GDIterationTable[[#This Row],[x_{k+1}=x_k-α·2x_k]]-GDIterationTable[[#This Row],[x_k]]</f>
        <v>-1.2379400392853804E-3</v>
      </c>
      <c r="G43" s="29">
        <f>$F$8-GDIterationTable[[#This Row],[x_k]]</f>
        <v>-6.1897001964269028E-3</v>
      </c>
      <c r="H43" s="21">
        <f>ABS(GDIterationTable[[#This Row],[변화량 Δx]])</f>
        <v>1.2379400392853804E-3</v>
      </c>
    </row>
  </sheetData>
  <mergeCells count="4">
    <mergeCell ref="A1:K1"/>
    <mergeCell ref="A3:C3"/>
    <mergeCell ref="E3:K3"/>
    <mergeCell ref="A11:H11"/>
  </mergeCells>
  <phoneticPr fontId="5" type="noConversion"/>
  <conditionalFormatting sqref="D13:D43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H13:H43">
    <cfRule type="cellIs" dxfId="17" priority="1" operator="lessThan">
      <formula>$B$8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workbookViewId="0">
      <selection activeCell="H36" sqref="H36"/>
    </sheetView>
  </sheetViews>
  <sheetFormatPr defaultRowHeight="14.25"/>
  <cols>
    <col min="1" max="1" width="6" customWidth="1"/>
    <col min="2" max="8" width="12" customWidth="1"/>
    <col min="10" max="10" width="6.625" customWidth="1"/>
    <col min="11" max="16" width="13" customWidth="1"/>
    <col min="17" max="17" width="14.25" customWidth="1"/>
  </cols>
  <sheetData>
    <row r="1" spans="1:17" ht="30" customHeight="1">
      <c r="A1" s="52" t="s">
        <v>25</v>
      </c>
      <c r="B1" s="48"/>
      <c r="C1" s="48"/>
      <c r="D1" s="48"/>
      <c r="E1" s="48"/>
      <c r="F1" s="48"/>
      <c r="G1" s="48"/>
      <c r="H1" s="48"/>
      <c r="I1" s="48"/>
      <c r="J1" s="48"/>
    </row>
    <row r="3" spans="1:17" ht="15">
      <c r="A3" s="1" t="s">
        <v>7</v>
      </c>
      <c r="B3" s="2">
        <v>5</v>
      </c>
    </row>
    <row r="4" spans="1:17" ht="15">
      <c r="A4" s="1" t="s">
        <v>26</v>
      </c>
      <c r="B4" s="2">
        <v>25</v>
      </c>
    </row>
    <row r="5" spans="1:17" ht="15">
      <c r="A5" s="1" t="s">
        <v>27</v>
      </c>
      <c r="B5" s="2"/>
    </row>
    <row r="6" spans="1:17" ht="15">
      <c r="A6" s="1" t="s">
        <v>28</v>
      </c>
      <c r="B6" s="2"/>
    </row>
    <row r="7" spans="1:17" ht="15">
      <c r="A7" s="1" t="s">
        <v>29</v>
      </c>
      <c r="B7" s="2" t="s">
        <v>30</v>
      </c>
    </row>
    <row r="10" spans="1:17" ht="15">
      <c r="A10" s="22" t="s">
        <v>19</v>
      </c>
      <c r="B10" s="23" t="s">
        <v>31</v>
      </c>
      <c r="C10" s="23" t="s">
        <v>32</v>
      </c>
      <c r="D10" s="23" t="s">
        <v>33</v>
      </c>
      <c r="E10" s="23" t="s">
        <v>34</v>
      </c>
      <c r="F10" s="23" t="s">
        <v>35</v>
      </c>
      <c r="G10" s="23" t="s">
        <v>36</v>
      </c>
      <c r="H10" s="24" t="s">
        <v>37</v>
      </c>
      <c r="J10" s="30" t="s">
        <v>19</v>
      </c>
      <c r="K10" s="31" t="s">
        <v>38</v>
      </c>
      <c r="L10" s="31" t="s">
        <v>39</v>
      </c>
      <c r="M10" s="31" t="s">
        <v>40</v>
      </c>
      <c r="N10" s="31" t="s">
        <v>41</v>
      </c>
      <c r="O10" s="31" t="s">
        <v>42</v>
      </c>
      <c r="P10" s="31" t="s">
        <v>43</v>
      </c>
      <c r="Q10" s="32" t="s">
        <v>44</v>
      </c>
    </row>
    <row r="11" spans="1:17">
      <c r="A11" s="25">
        <v>0</v>
      </c>
      <c r="B11" s="38">
        <f t="shared" ref="B11:H11" si="0">$B$3</f>
        <v>5</v>
      </c>
      <c r="C11" s="38">
        <f t="shared" si="0"/>
        <v>5</v>
      </c>
      <c r="D11" s="38">
        <f t="shared" si="0"/>
        <v>5</v>
      </c>
      <c r="E11" s="38">
        <f t="shared" si="0"/>
        <v>5</v>
      </c>
      <c r="F11" s="38">
        <f t="shared" si="0"/>
        <v>5</v>
      </c>
      <c r="G11" s="38">
        <f t="shared" si="0"/>
        <v>5</v>
      </c>
      <c r="H11" s="38">
        <f t="shared" si="0"/>
        <v>5</v>
      </c>
      <c r="J11" s="25">
        <v>0</v>
      </c>
      <c r="K11" s="17"/>
      <c r="L11" s="17"/>
      <c r="M11" s="17"/>
      <c r="N11" s="17"/>
      <c r="O11" s="17"/>
      <c r="P11" s="17"/>
      <c r="Q11" s="18"/>
    </row>
    <row r="12" spans="1:17">
      <c r="A12" s="25">
        <v>1</v>
      </c>
      <c r="B12" s="38">
        <f t="shared" ref="B12:B36" si="1">(1-2*0.01)*B11</f>
        <v>4.9000000000000004</v>
      </c>
      <c r="C12" s="38">
        <f>(1-2*0.05)*C11</f>
        <v>4.5</v>
      </c>
      <c r="D12" s="38">
        <f>(1-2*0.1)*D11</f>
        <v>4</v>
      </c>
      <c r="E12" s="38">
        <f>(1-2*0.5)*E11</f>
        <v>0</v>
      </c>
      <c r="F12" s="38">
        <f>(1-2*0.9)*F11</f>
        <v>-4</v>
      </c>
      <c r="G12" s="38">
        <f>(1-2*1)*G11</f>
        <v>-5</v>
      </c>
      <c r="H12" s="39">
        <f>(1-2*1.1)*H11</f>
        <v>-6.0000000000000009</v>
      </c>
      <c r="J12" s="25">
        <v>1</v>
      </c>
      <c r="K12" s="17"/>
      <c r="L12" s="17"/>
      <c r="M12" s="17"/>
      <c r="N12" s="17"/>
      <c r="O12" s="17"/>
      <c r="P12" s="17"/>
      <c r="Q12" s="18"/>
    </row>
    <row r="13" spans="1:17">
      <c r="A13" s="25">
        <v>2</v>
      </c>
      <c r="B13" s="38">
        <f t="shared" si="1"/>
        <v>4.8020000000000005</v>
      </c>
      <c r="C13" s="38">
        <f t="shared" ref="C13:C36" si="2">(1-2*0.05)*C12</f>
        <v>4.05</v>
      </c>
      <c r="D13" s="38">
        <f t="shared" ref="D13:D36" si="3">(1-2*0.1)*D12</f>
        <v>3.2</v>
      </c>
      <c r="E13" s="38">
        <f t="shared" ref="E13:E36" si="4">(1-2*0.5)*E12</f>
        <v>0</v>
      </c>
      <c r="F13" s="38">
        <f t="shared" ref="F13:F36" si="5">(1-2*0.9)*F12</f>
        <v>3.2</v>
      </c>
      <c r="G13" s="38">
        <f t="shared" ref="G13:G36" si="6">(1-2*1)*G12</f>
        <v>5</v>
      </c>
      <c r="H13" s="39">
        <f t="shared" ref="H13:H36" si="7">(1-2*1.1)*H12</f>
        <v>7.200000000000002</v>
      </c>
      <c r="J13" s="25">
        <v>2</v>
      </c>
      <c r="K13" s="17"/>
      <c r="L13" s="17"/>
      <c r="M13" s="17"/>
      <c r="N13" s="17"/>
      <c r="O13" s="17"/>
      <c r="P13" s="17"/>
      <c r="Q13" s="18"/>
    </row>
    <row r="14" spans="1:17">
      <c r="A14" s="25">
        <v>3</v>
      </c>
      <c r="B14" s="38">
        <f t="shared" si="1"/>
        <v>4.7059600000000001</v>
      </c>
      <c r="C14" s="38">
        <f t="shared" si="2"/>
        <v>3.645</v>
      </c>
      <c r="D14" s="38">
        <f t="shared" si="3"/>
        <v>2.5600000000000005</v>
      </c>
      <c r="E14" s="38">
        <f t="shared" si="4"/>
        <v>0</v>
      </c>
      <c r="F14" s="38">
        <f t="shared" si="5"/>
        <v>-2.5600000000000005</v>
      </c>
      <c r="G14" s="38">
        <f t="shared" si="6"/>
        <v>-5</v>
      </c>
      <c r="H14" s="39">
        <f t="shared" si="7"/>
        <v>-8.6400000000000041</v>
      </c>
      <c r="J14" s="25">
        <v>3</v>
      </c>
      <c r="K14" s="17"/>
      <c r="L14" s="17"/>
      <c r="M14" s="17"/>
      <c r="N14" s="17"/>
      <c r="O14" s="17"/>
      <c r="P14" s="17"/>
      <c r="Q14" s="18"/>
    </row>
    <row r="15" spans="1:17">
      <c r="A15" s="25">
        <v>4</v>
      </c>
      <c r="B15" s="38">
        <f t="shared" si="1"/>
        <v>4.6118408000000004</v>
      </c>
      <c r="C15" s="38">
        <f t="shared" si="2"/>
        <v>3.2805</v>
      </c>
      <c r="D15" s="38">
        <f t="shared" si="3"/>
        <v>2.0480000000000005</v>
      </c>
      <c r="E15" s="38">
        <f t="shared" si="4"/>
        <v>0</v>
      </c>
      <c r="F15" s="38">
        <f t="shared" si="5"/>
        <v>2.0480000000000005</v>
      </c>
      <c r="G15" s="38">
        <f t="shared" si="6"/>
        <v>5</v>
      </c>
      <c r="H15" s="39">
        <f t="shared" si="7"/>
        <v>10.368000000000006</v>
      </c>
      <c r="J15" s="25">
        <v>4</v>
      </c>
      <c r="K15" s="17"/>
      <c r="L15" s="17"/>
      <c r="M15" s="17"/>
      <c r="N15" s="17"/>
      <c r="O15" s="17"/>
      <c r="P15" s="17"/>
      <c r="Q15" s="18"/>
    </row>
    <row r="16" spans="1:17">
      <c r="A16" s="25">
        <v>5</v>
      </c>
      <c r="B16" s="38">
        <f t="shared" si="1"/>
        <v>4.5196039840000006</v>
      </c>
      <c r="C16" s="38">
        <f t="shared" si="2"/>
        <v>2.9524500000000002</v>
      </c>
      <c r="D16" s="38">
        <f t="shared" si="3"/>
        <v>1.6384000000000005</v>
      </c>
      <c r="E16" s="38">
        <f t="shared" si="4"/>
        <v>0</v>
      </c>
      <c r="F16" s="38">
        <f t="shared" si="5"/>
        <v>-1.6384000000000005</v>
      </c>
      <c r="G16" s="38">
        <f t="shared" si="6"/>
        <v>-5</v>
      </c>
      <c r="H16" s="39">
        <f t="shared" si="7"/>
        <v>-12.441600000000008</v>
      </c>
      <c r="J16" s="25">
        <v>5</v>
      </c>
      <c r="K16" s="17"/>
      <c r="L16" s="17"/>
      <c r="M16" s="17"/>
      <c r="N16" s="17"/>
      <c r="O16" s="17"/>
      <c r="P16" s="17"/>
      <c r="Q16" s="18"/>
    </row>
    <row r="17" spans="1:17">
      <c r="A17" s="25">
        <v>6</v>
      </c>
      <c r="B17" s="38">
        <f t="shared" si="1"/>
        <v>4.4292119043200007</v>
      </c>
      <c r="C17" s="38">
        <f t="shared" si="2"/>
        <v>2.6572050000000003</v>
      </c>
      <c r="D17" s="38">
        <f t="shared" si="3"/>
        <v>1.3107200000000006</v>
      </c>
      <c r="E17" s="38">
        <f t="shared" si="4"/>
        <v>0</v>
      </c>
      <c r="F17" s="38">
        <f t="shared" si="5"/>
        <v>1.3107200000000006</v>
      </c>
      <c r="G17" s="38">
        <f t="shared" si="6"/>
        <v>5</v>
      </c>
      <c r="H17" s="39">
        <f t="shared" si="7"/>
        <v>14.929920000000012</v>
      </c>
      <c r="J17" s="25">
        <v>6</v>
      </c>
      <c r="K17" s="17"/>
      <c r="L17" s="17"/>
      <c r="M17" s="17"/>
      <c r="N17" s="17"/>
      <c r="O17" s="17"/>
      <c r="P17" s="17"/>
      <c r="Q17" s="18"/>
    </row>
    <row r="18" spans="1:17">
      <c r="A18" s="25">
        <v>7</v>
      </c>
      <c r="B18" s="38">
        <f t="shared" si="1"/>
        <v>4.3406276662336003</v>
      </c>
      <c r="C18" s="38">
        <f t="shared" si="2"/>
        <v>2.3914845000000002</v>
      </c>
      <c r="D18" s="38">
        <f t="shared" si="3"/>
        <v>1.0485760000000004</v>
      </c>
      <c r="E18" s="38">
        <f t="shared" si="4"/>
        <v>0</v>
      </c>
      <c r="F18" s="38">
        <f t="shared" si="5"/>
        <v>-1.0485760000000004</v>
      </c>
      <c r="G18" s="38">
        <f t="shared" si="6"/>
        <v>-5</v>
      </c>
      <c r="H18" s="39">
        <f t="shared" si="7"/>
        <v>-17.915904000000015</v>
      </c>
      <c r="J18" s="25">
        <v>7</v>
      </c>
      <c r="K18" s="17"/>
      <c r="L18" s="17"/>
      <c r="M18" s="17"/>
      <c r="N18" s="17"/>
      <c r="O18" s="17"/>
      <c r="P18" s="17"/>
      <c r="Q18" s="18"/>
    </row>
    <row r="19" spans="1:17">
      <c r="A19" s="25">
        <v>8</v>
      </c>
      <c r="B19" s="38">
        <f t="shared" si="1"/>
        <v>4.2538151129089279</v>
      </c>
      <c r="C19" s="38">
        <f t="shared" si="2"/>
        <v>2.1523360500000002</v>
      </c>
      <c r="D19" s="38">
        <f t="shared" si="3"/>
        <v>0.83886080000000041</v>
      </c>
      <c r="E19" s="38">
        <f t="shared" si="4"/>
        <v>0</v>
      </c>
      <c r="F19" s="38">
        <f t="shared" si="5"/>
        <v>0.83886080000000041</v>
      </c>
      <c r="G19" s="38">
        <f t="shared" si="6"/>
        <v>5</v>
      </c>
      <c r="H19" s="39">
        <f t="shared" si="7"/>
        <v>21.49908480000002</v>
      </c>
      <c r="J19" s="25">
        <v>8</v>
      </c>
      <c r="K19" s="17"/>
      <c r="L19" s="17"/>
      <c r="M19" s="17"/>
      <c r="N19" s="17"/>
      <c r="O19" s="17"/>
      <c r="P19" s="17"/>
      <c r="Q19" s="18"/>
    </row>
    <row r="20" spans="1:17">
      <c r="A20" s="25">
        <v>9</v>
      </c>
      <c r="B20" s="38">
        <f t="shared" si="1"/>
        <v>4.1687388106507495</v>
      </c>
      <c r="C20" s="38">
        <f t="shared" si="2"/>
        <v>1.9371024450000003</v>
      </c>
      <c r="D20" s="38">
        <f t="shared" si="3"/>
        <v>0.67108864000000035</v>
      </c>
      <c r="E20" s="38">
        <f t="shared" si="4"/>
        <v>0</v>
      </c>
      <c r="F20" s="38">
        <f t="shared" si="5"/>
        <v>-0.67108864000000035</v>
      </c>
      <c r="G20" s="38">
        <f t="shared" si="6"/>
        <v>-5</v>
      </c>
      <c r="H20" s="39">
        <f t="shared" si="7"/>
        <v>-25.798901760000028</v>
      </c>
      <c r="J20" s="25">
        <v>9</v>
      </c>
      <c r="K20" s="17"/>
      <c r="L20" s="17"/>
      <c r="M20" s="17"/>
      <c r="N20" s="17"/>
      <c r="O20" s="17"/>
      <c r="P20" s="17"/>
      <c r="Q20" s="18"/>
    </row>
    <row r="21" spans="1:17">
      <c r="A21" s="25">
        <v>10</v>
      </c>
      <c r="B21" s="38">
        <f t="shared" si="1"/>
        <v>4.0853640344377347</v>
      </c>
      <c r="C21" s="38">
        <f t="shared" si="2"/>
        <v>1.7433922005000002</v>
      </c>
      <c r="D21" s="38">
        <f t="shared" si="3"/>
        <v>0.53687091200000026</v>
      </c>
      <c r="E21" s="38">
        <f t="shared" si="4"/>
        <v>0</v>
      </c>
      <c r="F21" s="38">
        <f t="shared" si="5"/>
        <v>0.53687091200000026</v>
      </c>
      <c r="G21" s="38">
        <f t="shared" si="6"/>
        <v>5</v>
      </c>
      <c r="H21" s="39">
        <f t="shared" si="7"/>
        <v>30.958682112000037</v>
      </c>
      <c r="J21" s="25">
        <v>10</v>
      </c>
      <c r="K21" s="17"/>
      <c r="L21" s="17"/>
      <c r="M21" s="17"/>
      <c r="N21" s="17"/>
      <c r="O21" s="17"/>
      <c r="P21" s="17"/>
      <c r="Q21" s="18"/>
    </row>
    <row r="22" spans="1:17">
      <c r="A22" s="25">
        <v>11</v>
      </c>
      <c r="B22" s="38">
        <f t="shared" si="1"/>
        <v>4.00365675374898</v>
      </c>
      <c r="C22" s="38">
        <f t="shared" si="2"/>
        <v>1.5690529804500002</v>
      </c>
      <c r="D22" s="38">
        <f t="shared" si="3"/>
        <v>0.42949672960000024</v>
      </c>
      <c r="E22" s="38">
        <f t="shared" si="4"/>
        <v>0</v>
      </c>
      <c r="F22" s="38">
        <f t="shared" si="5"/>
        <v>-0.42949672960000024</v>
      </c>
      <c r="G22" s="38">
        <f t="shared" si="6"/>
        <v>-5</v>
      </c>
      <c r="H22" s="39">
        <f t="shared" si="7"/>
        <v>-37.150418534400053</v>
      </c>
      <c r="J22" s="25">
        <v>11</v>
      </c>
      <c r="K22" s="17"/>
      <c r="L22" s="17"/>
      <c r="M22" s="17"/>
      <c r="N22" s="17"/>
      <c r="O22" s="17"/>
      <c r="P22" s="17"/>
      <c r="Q22" s="18"/>
    </row>
    <row r="23" spans="1:17">
      <c r="A23" s="25">
        <v>12</v>
      </c>
      <c r="B23" s="38">
        <f t="shared" si="1"/>
        <v>3.9235836186740003</v>
      </c>
      <c r="C23" s="38">
        <f t="shared" si="2"/>
        <v>1.4121476824050001</v>
      </c>
      <c r="D23" s="38">
        <f t="shared" si="3"/>
        <v>0.3435973836800002</v>
      </c>
      <c r="E23" s="38">
        <f t="shared" si="4"/>
        <v>0</v>
      </c>
      <c r="F23" s="38">
        <f t="shared" si="5"/>
        <v>0.3435973836800002</v>
      </c>
      <c r="G23" s="38">
        <f t="shared" si="6"/>
        <v>5</v>
      </c>
      <c r="H23" s="39">
        <f t="shared" si="7"/>
        <v>44.580502241280072</v>
      </c>
      <c r="J23" s="25">
        <v>12</v>
      </c>
      <c r="K23" s="17"/>
      <c r="L23" s="17"/>
      <c r="M23" s="17"/>
      <c r="N23" s="17"/>
      <c r="O23" s="17"/>
      <c r="P23" s="17"/>
      <c r="Q23" s="18"/>
    </row>
    <row r="24" spans="1:17">
      <c r="A24" s="25">
        <v>13</v>
      </c>
      <c r="B24" s="38">
        <f t="shared" si="1"/>
        <v>3.8451119463005203</v>
      </c>
      <c r="C24" s="38">
        <f t="shared" si="2"/>
        <v>1.2709329141645</v>
      </c>
      <c r="D24" s="38">
        <f t="shared" si="3"/>
        <v>0.27487790694400016</v>
      </c>
      <c r="E24" s="38">
        <f t="shared" si="4"/>
        <v>0</v>
      </c>
      <c r="F24" s="38">
        <f t="shared" si="5"/>
        <v>-0.27487790694400016</v>
      </c>
      <c r="G24" s="38">
        <f t="shared" si="6"/>
        <v>-5</v>
      </c>
      <c r="H24" s="39">
        <f t="shared" si="7"/>
        <v>-53.496602689536097</v>
      </c>
      <c r="J24" s="25">
        <v>13</v>
      </c>
      <c r="K24" s="17"/>
      <c r="L24" s="17"/>
      <c r="M24" s="17"/>
      <c r="N24" s="17"/>
      <c r="O24" s="17"/>
      <c r="P24" s="17"/>
      <c r="Q24" s="18"/>
    </row>
    <row r="25" spans="1:17">
      <c r="A25" s="25">
        <v>14</v>
      </c>
      <c r="B25" s="38">
        <f t="shared" si="1"/>
        <v>3.7682097073745098</v>
      </c>
      <c r="C25" s="38">
        <f t="shared" si="2"/>
        <v>1.1438396227480501</v>
      </c>
      <c r="D25" s="38">
        <f t="shared" si="3"/>
        <v>0.21990232555520015</v>
      </c>
      <c r="E25" s="38">
        <f t="shared" si="4"/>
        <v>0</v>
      </c>
      <c r="F25" s="38">
        <f t="shared" si="5"/>
        <v>0.21990232555520015</v>
      </c>
      <c r="G25" s="38">
        <f t="shared" si="6"/>
        <v>5</v>
      </c>
      <c r="H25" s="39">
        <f t="shared" si="7"/>
        <v>64.19592322744333</v>
      </c>
      <c r="J25" s="25">
        <v>14</v>
      </c>
      <c r="K25" s="17"/>
      <c r="L25" s="17"/>
      <c r="M25" s="17"/>
      <c r="N25" s="17"/>
      <c r="O25" s="17"/>
      <c r="P25" s="17"/>
      <c r="Q25" s="18"/>
    </row>
    <row r="26" spans="1:17">
      <c r="A26" s="25">
        <v>15</v>
      </c>
      <c r="B26" s="38">
        <f t="shared" si="1"/>
        <v>3.6928455132270197</v>
      </c>
      <c r="C26" s="38">
        <f t="shared" si="2"/>
        <v>1.029455660473245</v>
      </c>
      <c r="D26" s="38">
        <f t="shared" si="3"/>
        <v>0.17592186044416014</v>
      </c>
      <c r="E26" s="38">
        <f t="shared" si="4"/>
        <v>0</v>
      </c>
      <c r="F26" s="38">
        <f t="shared" si="5"/>
        <v>-0.17592186044416014</v>
      </c>
      <c r="G26" s="38">
        <f t="shared" si="6"/>
        <v>-5</v>
      </c>
      <c r="H26" s="39">
        <f t="shared" si="7"/>
        <v>-77.035107872932002</v>
      </c>
      <c r="J26" s="25">
        <v>15</v>
      </c>
      <c r="K26" s="17"/>
      <c r="L26" s="17"/>
      <c r="M26" s="17"/>
      <c r="N26" s="17"/>
      <c r="O26" s="17"/>
      <c r="P26" s="17"/>
      <c r="Q26" s="18"/>
    </row>
    <row r="27" spans="1:17">
      <c r="A27" s="25">
        <v>16</v>
      </c>
      <c r="B27" s="38">
        <f t="shared" si="1"/>
        <v>3.6189886029624794</v>
      </c>
      <c r="C27" s="38">
        <f t="shared" si="2"/>
        <v>0.92651009442592047</v>
      </c>
      <c r="D27" s="38">
        <f t="shared" si="3"/>
        <v>0.14073748835532812</v>
      </c>
      <c r="E27" s="38">
        <f t="shared" si="4"/>
        <v>0</v>
      </c>
      <c r="F27" s="38">
        <f t="shared" si="5"/>
        <v>0.14073748835532812</v>
      </c>
      <c r="G27" s="38">
        <f t="shared" si="6"/>
        <v>5</v>
      </c>
      <c r="H27" s="39">
        <f t="shared" si="7"/>
        <v>92.442129447518411</v>
      </c>
      <c r="J27" s="25">
        <v>16</v>
      </c>
      <c r="K27" s="17"/>
      <c r="L27" s="17"/>
      <c r="M27" s="17"/>
      <c r="N27" s="17"/>
      <c r="O27" s="17"/>
      <c r="P27" s="17"/>
      <c r="Q27" s="18"/>
    </row>
    <row r="28" spans="1:17">
      <c r="A28" s="25">
        <v>17</v>
      </c>
      <c r="B28" s="38">
        <f t="shared" si="1"/>
        <v>3.5466088309032298</v>
      </c>
      <c r="C28" s="38">
        <f t="shared" si="2"/>
        <v>0.83385908498332839</v>
      </c>
      <c r="D28" s="38">
        <f t="shared" si="3"/>
        <v>0.11258999068426251</v>
      </c>
      <c r="E28" s="38">
        <f t="shared" si="4"/>
        <v>0</v>
      </c>
      <c r="F28" s="38">
        <f t="shared" si="5"/>
        <v>-0.11258999068426251</v>
      </c>
      <c r="G28" s="38">
        <f t="shared" si="6"/>
        <v>-5</v>
      </c>
      <c r="H28" s="39">
        <f t="shared" si="7"/>
        <v>-110.93055533702211</v>
      </c>
      <c r="J28" s="25">
        <v>17</v>
      </c>
      <c r="K28" s="17"/>
      <c r="L28" s="17"/>
      <c r="M28" s="17"/>
      <c r="N28" s="17"/>
      <c r="O28" s="17"/>
      <c r="P28" s="17"/>
      <c r="Q28" s="18"/>
    </row>
    <row r="29" spans="1:17">
      <c r="A29" s="25">
        <v>18</v>
      </c>
      <c r="B29" s="38">
        <f t="shared" si="1"/>
        <v>3.4756766542851651</v>
      </c>
      <c r="C29" s="38">
        <f t="shared" si="2"/>
        <v>0.75047317648499556</v>
      </c>
      <c r="D29" s="38">
        <f t="shared" si="3"/>
        <v>9.007199254741001E-2</v>
      </c>
      <c r="E29" s="38">
        <f t="shared" si="4"/>
        <v>0</v>
      </c>
      <c r="F29" s="38">
        <f t="shared" si="5"/>
        <v>9.007199254741001E-2</v>
      </c>
      <c r="G29" s="38">
        <f t="shared" si="6"/>
        <v>5</v>
      </c>
      <c r="H29" s="39">
        <f t="shared" si="7"/>
        <v>133.11666640442655</v>
      </c>
      <c r="J29" s="25">
        <v>18</v>
      </c>
      <c r="K29" s="17"/>
      <c r="L29" s="17"/>
      <c r="M29" s="17"/>
      <c r="N29" s="17"/>
      <c r="O29" s="17"/>
      <c r="P29" s="17"/>
      <c r="Q29" s="18"/>
    </row>
    <row r="30" spans="1:17">
      <c r="A30" s="25">
        <v>19</v>
      </c>
      <c r="B30" s="38">
        <f t="shared" si="1"/>
        <v>3.4061631211994619</v>
      </c>
      <c r="C30" s="38">
        <f t="shared" si="2"/>
        <v>0.67542585883649597</v>
      </c>
      <c r="D30" s="38">
        <f t="shared" si="3"/>
        <v>7.2057594037928011E-2</v>
      </c>
      <c r="E30" s="38">
        <f t="shared" si="4"/>
        <v>0</v>
      </c>
      <c r="F30" s="38">
        <f t="shared" si="5"/>
        <v>-7.2057594037928011E-2</v>
      </c>
      <c r="G30" s="38">
        <f t="shared" si="6"/>
        <v>-5</v>
      </c>
      <c r="H30" s="39">
        <f t="shared" si="7"/>
        <v>-159.73999968531189</v>
      </c>
      <c r="J30" s="25">
        <v>19</v>
      </c>
      <c r="K30" s="17"/>
      <c r="L30" s="17"/>
      <c r="M30" s="17"/>
      <c r="N30" s="17"/>
      <c r="O30" s="17"/>
      <c r="P30" s="17"/>
      <c r="Q30" s="18"/>
    </row>
    <row r="31" spans="1:17">
      <c r="A31" s="25">
        <v>20</v>
      </c>
      <c r="B31" s="38">
        <f t="shared" si="1"/>
        <v>3.3380398587754727</v>
      </c>
      <c r="C31" s="38">
        <f t="shared" si="2"/>
        <v>0.60788327295284639</v>
      </c>
      <c r="D31" s="38">
        <f t="shared" si="3"/>
        <v>5.764607523034241E-2</v>
      </c>
      <c r="E31" s="38">
        <f t="shared" si="4"/>
        <v>0</v>
      </c>
      <c r="F31" s="38">
        <f t="shared" si="5"/>
        <v>5.764607523034241E-2</v>
      </c>
      <c r="G31" s="38">
        <f t="shared" si="6"/>
        <v>5</v>
      </c>
      <c r="H31" s="39">
        <f t="shared" si="7"/>
        <v>191.68799962237429</v>
      </c>
      <c r="J31" s="25">
        <v>20</v>
      </c>
      <c r="K31" s="17"/>
      <c r="L31" s="17"/>
      <c r="M31" s="17"/>
      <c r="N31" s="17"/>
      <c r="O31" s="17"/>
      <c r="P31" s="17"/>
      <c r="Q31" s="18"/>
    </row>
    <row r="32" spans="1:17">
      <c r="A32" s="25">
        <v>21</v>
      </c>
      <c r="B32" s="38">
        <f t="shared" si="1"/>
        <v>3.2712790615999632</v>
      </c>
      <c r="C32" s="38">
        <f t="shared" si="2"/>
        <v>0.54709494565756178</v>
      </c>
      <c r="D32" s="38">
        <f t="shared" si="3"/>
        <v>4.6116860184273932E-2</v>
      </c>
      <c r="E32" s="38">
        <f t="shared" si="4"/>
        <v>0</v>
      </c>
      <c r="F32" s="38">
        <f t="shared" si="5"/>
        <v>-4.6116860184273932E-2</v>
      </c>
      <c r="G32" s="38">
        <f t="shared" si="6"/>
        <v>-5</v>
      </c>
      <c r="H32" s="39">
        <f t="shared" si="7"/>
        <v>-230.02559954684918</v>
      </c>
      <c r="J32" s="25">
        <v>21</v>
      </c>
      <c r="K32" s="17"/>
      <c r="L32" s="17"/>
      <c r="M32" s="17"/>
      <c r="N32" s="17"/>
      <c r="O32" s="17"/>
      <c r="P32" s="17"/>
      <c r="Q32" s="18"/>
    </row>
    <row r="33" spans="1:17">
      <c r="A33" s="25">
        <v>22</v>
      </c>
      <c r="B33" s="38">
        <f t="shared" si="1"/>
        <v>3.2058534803679639</v>
      </c>
      <c r="C33" s="38">
        <f t="shared" si="2"/>
        <v>0.49238545109180559</v>
      </c>
      <c r="D33" s="38">
        <f t="shared" si="3"/>
        <v>3.6893488147419148E-2</v>
      </c>
      <c r="E33" s="38">
        <f t="shared" si="4"/>
        <v>0</v>
      </c>
      <c r="F33" s="38">
        <f t="shared" si="5"/>
        <v>3.6893488147419148E-2</v>
      </c>
      <c r="G33" s="38">
        <f t="shared" si="6"/>
        <v>5</v>
      </c>
      <c r="H33" s="39">
        <f t="shared" si="7"/>
        <v>276.03071945621906</v>
      </c>
      <c r="J33" s="25">
        <v>22</v>
      </c>
      <c r="K33" s="17"/>
      <c r="L33" s="17"/>
      <c r="M33" s="17"/>
      <c r="N33" s="17"/>
      <c r="O33" s="17"/>
      <c r="P33" s="17"/>
      <c r="Q33" s="18"/>
    </row>
    <row r="34" spans="1:17">
      <c r="A34" s="25">
        <v>23</v>
      </c>
      <c r="B34" s="38">
        <f t="shared" si="1"/>
        <v>3.1417364107606045</v>
      </c>
      <c r="C34" s="38">
        <f t="shared" si="2"/>
        <v>0.44314690598262502</v>
      </c>
      <c r="D34" s="38">
        <f t="shared" si="3"/>
        <v>2.9514790517935319E-2</v>
      </c>
      <c r="E34" s="38">
        <f t="shared" si="4"/>
        <v>0</v>
      </c>
      <c r="F34" s="38">
        <f t="shared" si="5"/>
        <v>-2.9514790517935319E-2</v>
      </c>
      <c r="G34" s="38">
        <f t="shared" si="6"/>
        <v>-5</v>
      </c>
      <c r="H34" s="39">
        <f t="shared" si="7"/>
        <v>-331.23686334746293</v>
      </c>
      <c r="J34" s="25">
        <v>23</v>
      </c>
      <c r="K34" s="17"/>
      <c r="L34" s="17"/>
      <c r="M34" s="17"/>
      <c r="N34" s="17"/>
      <c r="O34" s="17"/>
      <c r="P34" s="17"/>
      <c r="Q34" s="18"/>
    </row>
    <row r="35" spans="1:17">
      <c r="A35" s="25">
        <v>24</v>
      </c>
      <c r="B35" s="38">
        <f t="shared" si="1"/>
        <v>3.0789016825453923</v>
      </c>
      <c r="C35" s="38">
        <f t="shared" si="2"/>
        <v>0.39883221538436253</v>
      </c>
      <c r="D35" s="38">
        <f t="shared" si="3"/>
        <v>2.3611832414348256E-2</v>
      </c>
      <c r="E35" s="38">
        <f t="shared" si="4"/>
        <v>0</v>
      </c>
      <c r="F35" s="38">
        <f t="shared" si="5"/>
        <v>2.3611832414348256E-2</v>
      </c>
      <c r="G35" s="38">
        <f t="shared" si="6"/>
        <v>5</v>
      </c>
      <c r="H35" s="39">
        <f t="shared" si="7"/>
        <v>397.48423601695555</v>
      </c>
      <c r="J35" s="25">
        <v>24</v>
      </c>
      <c r="K35" s="17"/>
      <c r="L35" s="17"/>
      <c r="M35" s="17"/>
      <c r="N35" s="17"/>
      <c r="O35" s="17"/>
      <c r="P35" s="17"/>
      <c r="Q35" s="18"/>
    </row>
    <row r="36" spans="1:17">
      <c r="A36" s="26">
        <v>25</v>
      </c>
      <c r="B36" s="40">
        <f t="shared" si="1"/>
        <v>3.0173236488944846</v>
      </c>
      <c r="C36" s="38">
        <f t="shared" si="2"/>
        <v>0.35894899384592627</v>
      </c>
      <c r="D36" s="38">
        <f t="shared" si="3"/>
        <v>1.8889465931478607E-2</v>
      </c>
      <c r="E36" s="38">
        <f t="shared" si="4"/>
        <v>0</v>
      </c>
      <c r="F36" s="38">
        <f t="shared" si="5"/>
        <v>-1.8889465931478607E-2</v>
      </c>
      <c r="G36" s="38">
        <f t="shared" si="6"/>
        <v>-5</v>
      </c>
      <c r="H36" s="39">
        <f t="shared" si="7"/>
        <v>-476.9810832203467</v>
      </c>
      <c r="J36" s="26">
        <v>25</v>
      </c>
      <c r="K36" s="27"/>
      <c r="L36" s="27"/>
      <c r="M36" s="27"/>
      <c r="N36" s="27"/>
      <c r="O36" s="27"/>
      <c r="P36" s="27"/>
      <c r="Q36" s="28"/>
    </row>
  </sheetData>
  <mergeCells count="1">
    <mergeCell ref="A1:J1"/>
  </mergeCells>
  <phoneticPr fontId="5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zoomScale="85" zoomScaleNormal="85" workbookViewId="0">
      <selection activeCell="H13" sqref="H13"/>
    </sheetView>
  </sheetViews>
  <sheetFormatPr defaultRowHeight="14.25"/>
  <cols>
    <col min="1" max="1" width="10.875" customWidth="1"/>
    <col min="2" max="2" width="9" customWidth="1"/>
    <col min="3" max="3" width="14.25" customWidth="1"/>
    <col min="4" max="4" width="11.375" customWidth="1"/>
    <col min="5" max="5" width="15.75" customWidth="1"/>
    <col min="6" max="6" width="19" customWidth="1"/>
    <col min="7" max="7" width="15" customWidth="1"/>
    <col min="8" max="8" width="13.125" customWidth="1"/>
    <col min="9" max="9" width="15" customWidth="1"/>
    <col min="10" max="10" width="9.75" customWidth="1"/>
    <col min="11" max="11" width="14" customWidth="1"/>
  </cols>
  <sheetData>
    <row r="1" spans="1:12" ht="30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3" spans="1:12" ht="15">
      <c r="A3" s="49" t="s">
        <v>1</v>
      </c>
      <c r="B3" s="48"/>
      <c r="C3" s="48"/>
      <c r="F3" s="50" t="s">
        <v>2</v>
      </c>
      <c r="G3" s="48"/>
      <c r="H3" s="48"/>
      <c r="I3" s="48"/>
      <c r="J3" s="48"/>
      <c r="K3" s="48"/>
      <c r="L3" s="48"/>
    </row>
    <row r="4" spans="1:12" ht="15">
      <c r="A4" s="3" t="s">
        <v>3</v>
      </c>
      <c r="B4" s="4" t="s">
        <v>48</v>
      </c>
      <c r="C4" s="5" t="s">
        <v>4</v>
      </c>
      <c r="F4" s="1" t="s">
        <v>5</v>
      </c>
      <c r="G4" s="33">
        <f>$B$7</f>
        <v>30</v>
      </c>
      <c r="H4" s="33"/>
      <c r="I4" s="12"/>
      <c r="J4" s="34" t="s">
        <v>6</v>
      </c>
      <c r="K4" s="33">
        <f>INDEX(B12:B42,$B$7+1)</f>
        <v>6.1897001964269028E-3</v>
      </c>
    </row>
    <row r="5" spans="1:12" ht="16.5">
      <c r="A5" s="6" t="s">
        <v>7</v>
      </c>
      <c r="B5" s="7">
        <v>5</v>
      </c>
      <c r="C5" s="8" t="s">
        <v>8</v>
      </c>
      <c r="F5" s="1" t="s">
        <v>9</v>
      </c>
      <c r="G5" s="33">
        <f>INDEX(D12:D42,$B$7+1)</f>
        <v>1.0000383123885217</v>
      </c>
      <c r="H5" s="33"/>
      <c r="I5" s="12"/>
      <c r="J5" s="36" t="s">
        <v>46</v>
      </c>
      <c r="K5" s="33">
        <f>INDEX(I12:I42,$B$7+1)</f>
        <v>1.2379400392853804E-3</v>
      </c>
    </row>
    <row r="6" spans="1:12" ht="15">
      <c r="A6" s="6" t="s">
        <v>10</v>
      </c>
      <c r="B6" s="7">
        <v>0.1</v>
      </c>
      <c r="C6" s="8" t="s">
        <v>11</v>
      </c>
      <c r="F6" s="1" t="s">
        <v>12</v>
      </c>
      <c r="G6" s="35" t="str">
        <f>IF(K5&lt;$B$8,"수렴","미수렴/확인 필요")</f>
        <v>미수렴/확인 필요</v>
      </c>
      <c r="H6" s="35"/>
      <c r="I6" s="12"/>
      <c r="J6" s="34" t="s">
        <v>13</v>
      </c>
      <c r="K6" s="35" t="str">
        <f>IF($B$6&gt;=1,"α가 너무 클 수 있음","α 변경 실험")</f>
        <v>α 변경 실험</v>
      </c>
    </row>
    <row r="7" spans="1:12" ht="15">
      <c r="A7" s="6" t="s">
        <v>14</v>
      </c>
      <c r="B7" s="7">
        <v>30</v>
      </c>
      <c r="C7" s="8" t="s">
        <v>15</v>
      </c>
    </row>
    <row r="8" spans="1:12" ht="15">
      <c r="A8" s="9" t="s">
        <v>16</v>
      </c>
      <c r="B8" s="10">
        <v>9.9999999999999995E-7</v>
      </c>
      <c r="C8" s="11" t="s">
        <v>17</v>
      </c>
    </row>
    <row r="10" spans="1:12" ht="15">
      <c r="A10" s="51" t="s">
        <v>18</v>
      </c>
      <c r="B10" s="48"/>
      <c r="C10" s="48"/>
      <c r="D10" s="48"/>
      <c r="E10" s="48"/>
      <c r="F10" s="48"/>
      <c r="G10" s="48"/>
      <c r="H10" s="48"/>
      <c r="I10" s="48"/>
    </row>
    <row r="11" spans="1:12" ht="12.75" customHeight="1">
      <c r="A11" s="13" t="s">
        <v>19</v>
      </c>
      <c r="B11" s="14" t="s">
        <v>20</v>
      </c>
      <c r="C11" s="41" t="s">
        <v>21</v>
      </c>
      <c r="D11" s="14" t="s">
        <v>22</v>
      </c>
      <c r="E11" s="42" t="s">
        <v>49</v>
      </c>
      <c r="F11" s="14" t="s">
        <v>23</v>
      </c>
      <c r="G11" s="41" t="s">
        <v>24</v>
      </c>
      <c r="H11" s="43" t="s">
        <v>47</v>
      </c>
      <c r="I11" s="15" t="s">
        <v>45</v>
      </c>
    </row>
    <row r="12" spans="1:12">
      <c r="A12" s="16">
        <v>0</v>
      </c>
      <c r="B12" s="17">
        <f>$B$5</f>
        <v>5</v>
      </c>
      <c r="C12" s="17">
        <f>2*B12</f>
        <v>10</v>
      </c>
      <c r="D12" s="17">
        <f t="shared" ref="D12:D42" si="0">B12^2+1</f>
        <v>26</v>
      </c>
      <c r="E12" s="29"/>
      <c r="F12" s="17">
        <f t="shared" ref="F12:F42" si="1">B12-$B$6*C12</f>
        <v>4</v>
      </c>
      <c r="G12" s="17">
        <f t="shared" ref="G12:G42" si="2">F12-B12</f>
        <v>-1</v>
      </c>
      <c r="H12" s="29"/>
      <c r="I12" s="18">
        <f t="shared" ref="I12:I42" si="3">ABS(G12)</f>
        <v>1</v>
      </c>
    </row>
    <row r="13" spans="1:12">
      <c r="A13" s="16">
        <v>1</v>
      </c>
      <c r="B13" s="17">
        <f t="shared" ref="B13:B42" si="4">F12</f>
        <v>4</v>
      </c>
      <c r="C13" s="17">
        <f t="shared" ref="C13:C42" si="5">2*B13</f>
        <v>8</v>
      </c>
      <c r="D13" s="17">
        <f t="shared" si="0"/>
        <v>17</v>
      </c>
      <c r="E13" s="29"/>
      <c r="F13" s="17">
        <f t="shared" si="1"/>
        <v>3.2</v>
      </c>
      <c r="G13" s="17">
        <f t="shared" si="2"/>
        <v>-0.79999999999999982</v>
      </c>
      <c r="H13" s="29"/>
      <c r="I13" s="18">
        <f t="shared" si="3"/>
        <v>0.79999999999999982</v>
      </c>
    </row>
    <row r="14" spans="1:12">
      <c r="A14" s="16">
        <v>2</v>
      </c>
      <c r="B14" s="17">
        <f t="shared" si="4"/>
        <v>3.2</v>
      </c>
      <c r="C14" s="17">
        <f t="shared" si="5"/>
        <v>6.4</v>
      </c>
      <c r="D14" s="17">
        <f t="shared" si="0"/>
        <v>11.240000000000002</v>
      </c>
      <c r="E14" s="29"/>
      <c r="F14" s="17">
        <f t="shared" si="1"/>
        <v>2.56</v>
      </c>
      <c r="G14" s="17">
        <f t="shared" si="2"/>
        <v>-0.64000000000000012</v>
      </c>
      <c r="H14" s="29"/>
      <c r="I14" s="18">
        <f t="shared" si="3"/>
        <v>0.64000000000000012</v>
      </c>
    </row>
    <row r="15" spans="1:12">
      <c r="A15" s="16">
        <v>3</v>
      </c>
      <c r="B15" s="17">
        <f t="shared" si="4"/>
        <v>2.56</v>
      </c>
      <c r="C15" s="17">
        <f t="shared" si="5"/>
        <v>5.12</v>
      </c>
      <c r="D15" s="17">
        <f t="shared" si="0"/>
        <v>7.5536000000000003</v>
      </c>
      <c r="E15" s="29"/>
      <c r="F15" s="17">
        <f t="shared" si="1"/>
        <v>2.048</v>
      </c>
      <c r="G15" s="17">
        <f t="shared" si="2"/>
        <v>-0.51200000000000001</v>
      </c>
      <c r="H15" s="29"/>
      <c r="I15" s="18">
        <f t="shared" si="3"/>
        <v>0.51200000000000001</v>
      </c>
    </row>
    <row r="16" spans="1:12">
      <c r="A16" s="16">
        <v>4</v>
      </c>
      <c r="B16" s="17">
        <f t="shared" si="4"/>
        <v>2.048</v>
      </c>
      <c r="C16" s="17">
        <f t="shared" si="5"/>
        <v>4.0960000000000001</v>
      </c>
      <c r="D16" s="17">
        <f t="shared" si="0"/>
        <v>5.1943039999999998</v>
      </c>
      <c r="E16" s="29"/>
      <c r="F16" s="17">
        <f t="shared" si="1"/>
        <v>1.6384000000000001</v>
      </c>
      <c r="G16" s="17">
        <f t="shared" si="2"/>
        <v>-0.40959999999999996</v>
      </c>
      <c r="H16" s="29"/>
      <c r="I16" s="18">
        <f t="shared" si="3"/>
        <v>0.40959999999999996</v>
      </c>
    </row>
    <row r="17" spans="1:9">
      <c r="A17" s="16">
        <v>5</v>
      </c>
      <c r="B17" s="17">
        <f t="shared" si="4"/>
        <v>1.6384000000000001</v>
      </c>
      <c r="C17" s="17">
        <f t="shared" si="5"/>
        <v>3.2768000000000002</v>
      </c>
      <c r="D17" s="17">
        <f t="shared" si="0"/>
        <v>3.6843545600000001</v>
      </c>
      <c r="E17" s="29"/>
      <c r="F17" s="17">
        <f t="shared" si="1"/>
        <v>1.3107200000000001</v>
      </c>
      <c r="G17" s="17">
        <f t="shared" si="2"/>
        <v>-0.32767999999999997</v>
      </c>
      <c r="H17" s="29"/>
      <c r="I17" s="18">
        <f t="shared" si="3"/>
        <v>0.32767999999999997</v>
      </c>
    </row>
    <row r="18" spans="1:9">
      <c r="A18" s="16">
        <v>6</v>
      </c>
      <c r="B18" s="17">
        <f t="shared" si="4"/>
        <v>1.3107200000000001</v>
      </c>
      <c r="C18" s="17">
        <f t="shared" si="5"/>
        <v>2.6214400000000002</v>
      </c>
      <c r="D18" s="17">
        <f t="shared" si="0"/>
        <v>2.7179869184000003</v>
      </c>
      <c r="E18" s="29"/>
      <c r="F18" s="17">
        <f t="shared" si="1"/>
        <v>1.0485760000000002</v>
      </c>
      <c r="G18" s="17">
        <f t="shared" si="2"/>
        <v>-0.26214399999999993</v>
      </c>
      <c r="H18" s="29"/>
      <c r="I18" s="18">
        <f t="shared" si="3"/>
        <v>0.26214399999999993</v>
      </c>
    </row>
    <row r="19" spans="1:9">
      <c r="A19" s="16">
        <v>7</v>
      </c>
      <c r="B19" s="17">
        <f t="shared" si="4"/>
        <v>1.0485760000000002</v>
      </c>
      <c r="C19" s="17">
        <f t="shared" si="5"/>
        <v>2.0971520000000003</v>
      </c>
      <c r="D19" s="17">
        <f t="shared" si="0"/>
        <v>2.0995116277760006</v>
      </c>
      <c r="E19" s="29"/>
      <c r="F19" s="17">
        <f t="shared" si="1"/>
        <v>0.83886080000000018</v>
      </c>
      <c r="G19" s="17">
        <f t="shared" si="2"/>
        <v>-0.20971519999999999</v>
      </c>
      <c r="H19" s="29"/>
      <c r="I19" s="18">
        <f t="shared" si="3"/>
        <v>0.20971519999999999</v>
      </c>
    </row>
    <row r="20" spans="1:9">
      <c r="A20" s="16">
        <v>8</v>
      </c>
      <c r="B20" s="17">
        <f t="shared" si="4"/>
        <v>0.83886080000000018</v>
      </c>
      <c r="C20" s="17">
        <f t="shared" si="5"/>
        <v>1.6777216000000004</v>
      </c>
      <c r="D20" s="17">
        <f t="shared" si="0"/>
        <v>1.7036874417766403</v>
      </c>
      <c r="E20" s="29"/>
      <c r="F20" s="17">
        <f t="shared" si="1"/>
        <v>0.67108864000000013</v>
      </c>
      <c r="G20" s="17">
        <f t="shared" si="2"/>
        <v>-0.16777216000000006</v>
      </c>
      <c r="H20" s="29"/>
      <c r="I20" s="18">
        <f t="shared" si="3"/>
        <v>0.16777216000000006</v>
      </c>
    </row>
    <row r="21" spans="1:9">
      <c r="A21" s="16">
        <v>9</v>
      </c>
      <c r="B21" s="17">
        <f t="shared" si="4"/>
        <v>0.67108864000000013</v>
      </c>
      <c r="C21" s="17">
        <f t="shared" si="5"/>
        <v>1.3421772800000003</v>
      </c>
      <c r="D21" s="17">
        <f t="shared" si="0"/>
        <v>1.4503599627370498</v>
      </c>
      <c r="E21" s="29"/>
      <c r="F21" s="17">
        <f t="shared" si="1"/>
        <v>0.53687091200000014</v>
      </c>
      <c r="G21" s="17">
        <f t="shared" si="2"/>
        <v>-0.13421772799999998</v>
      </c>
      <c r="H21" s="29"/>
      <c r="I21" s="18">
        <f t="shared" si="3"/>
        <v>0.13421772799999998</v>
      </c>
    </row>
    <row r="22" spans="1:9">
      <c r="A22" s="16">
        <v>10</v>
      </c>
      <c r="B22" s="17">
        <f t="shared" si="4"/>
        <v>0.53687091200000014</v>
      </c>
      <c r="C22" s="17">
        <f t="shared" si="5"/>
        <v>1.0737418240000003</v>
      </c>
      <c r="D22" s="17">
        <f t="shared" si="0"/>
        <v>1.288230376151712</v>
      </c>
      <c r="E22" s="29"/>
      <c r="F22" s="17">
        <f t="shared" si="1"/>
        <v>0.42949672960000013</v>
      </c>
      <c r="G22" s="17">
        <f t="shared" si="2"/>
        <v>-0.10737418240000002</v>
      </c>
      <c r="H22" s="29"/>
      <c r="I22" s="18">
        <f t="shared" si="3"/>
        <v>0.10737418240000002</v>
      </c>
    </row>
    <row r="23" spans="1:9">
      <c r="A23" s="16">
        <v>11</v>
      </c>
      <c r="B23" s="17">
        <f t="shared" si="4"/>
        <v>0.42949672960000013</v>
      </c>
      <c r="C23" s="17">
        <f t="shared" si="5"/>
        <v>0.85899345920000025</v>
      </c>
      <c r="D23" s="17">
        <f t="shared" si="0"/>
        <v>1.1844674407370956</v>
      </c>
      <c r="E23" s="29"/>
      <c r="F23" s="17">
        <f t="shared" si="1"/>
        <v>0.34359738368000009</v>
      </c>
      <c r="G23" s="17">
        <f t="shared" si="2"/>
        <v>-8.5899345920000036E-2</v>
      </c>
      <c r="H23" s="29"/>
      <c r="I23" s="18">
        <f t="shared" si="3"/>
        <v>8.5899345920000036E-2</v>
      </c>
    </row>
    <row r="24" spans="1:9">
      <c r="A24" s="16">
        <v>12</v>
      </c>
      <c r="B24" s="17">
        <f t="shared" si="4"/>
        <v>0.34359738368000009</v>
      </c>
      <c r="C24" s="17">
        <f t="shared" si="5"/>
        <v>0.68719476736000018</v>
      </c>
      <c r="D24" s="17">
        <f t="shared" si="0"/>
        <v>1.1180591620717413</v>
      </c>
      <c r="E24" s="29"/>
      <c r="F24" s="17">
        <f t="shared" si="1"/>
        <v>0.27487790694400005</v>
      </c>
      <c r="G24" s="17">
        <f t="shared" si="2"/>
        <v>-6.871947673600004E-2</v>
      </c>
      <c r="H24" s="29"/>
      <c r="I24" s="18">
        <f t="shared" si="3"/>
        <v>6.871947673600004E-2</v>
      </c>
    </row>
    <row r="25" spans="1:9">
      <c r="A25" s="16">
        <v>13</v>
      </c>
      <c r="B25" s="17">
        <f t="shared" si="4"/>
        <v>0.27487790694400005</v>
      </c>
      <c r="C25" s="17">
        <f t="shared" si="5"/>
        <v>0.5497558138880001</v>
      </c>
      <c r="D25" s="17">
        <f t="shared" si="0"/>
        <v>1.0755578637259144</v>
      </c>
      <c r="E25" s="29"/>
      <c r="F25" s="17">
        <f t="shared" si="1"/>
        <v>0.21990232555520003</v>
      </c>
      <c r="G25" s="17">
        <f t="shared" si="2"/>
        <v>-5.4975581388800016E-2</v>
      </c>
      <c r="H25" s="29"/>
      <c r="I25" s="18">
        <f t="shared" si="3"/>
        <v>5.4975581388800016E-2</v>
      </c>
    </row>
    <row r="26" spans="1:9">
      <c r="A26" s="16">
        <v>14</v>
      </c>
      <c r="B26" s="17">
        <f t="shared" si="4"/>
        <v>0.21990232555520003</v>
      </c>
      <c r="C26" s="17">
        <f t="shared" si="5"/>
        <v>0.43980465111040007</v>
      </c>
      <c r="D26" s="17">
        <f t="shared" si="0"/>
        <v>1.0483570327845853</v>
      </c>
      <c r="E26" s="29"/>
      <c r="F26" s="17">
        <f t="shared" si="1"/>
        <v>0.17592186044416003</v>
      </c>
      <c r="G26" s="17">
        <f t="shared" si="2"/>
        <v>-4.3980465111040007E-2</v>
      </c>
      <c r="H26" s="29"/>
      <c r="I26" s="18">
        <f t="shared" si="3"/>
        <v>4.3980465111040007E-2</v>
      </c>
    </row>
    <row r="27" spans="1:9">
      <c r="A27" s="16">
        <v>15</v>
      </c>
      <c r="B27" s="17">
        <f t="shared" si="4"/>
        <v>0.17592186044416003</v>
      </c>
      <c r="C27" s="17">
        <f t="shared" si="5"/>
        <v>0.35184372088832006</v>
      </c>
      <c r="D27" s="17">
        <f t="shared" si="0"/>
        <v>1.0309485009821344</v>
      </c>
      <c r="E27" s="29"/>
      <c r="F27" s="17">
        <f t="shared" si="1"/>
        <v>0.14073748835532801</v>
      </c>
      <c r="G27" s="17">
        <f t="shared" si="2"/>
        <v>-3.5184372088832017E-2</v>
      </c>
      <c r="H27" s="29"/>
      <c r="I27" s="18">
        <f t="shared" si="3"/>
        <v>3.5184372088832017E-2</v>
      </c>
    </row>
    <row r="28" spans="1:9">
      <c r="A28" s="16">
        <v>16</v>
      </c>
      <c r="B28" s="17">
        <f t="shared" si="4"/>
        <v>0.14073748835532801</v>
      </c>
      <c r="C28" s="17">
        <f t="shared" si="5"/>
        <v>0.28147497671065602</v>
      </c>
      <c r="D28" s="17">
        <f t="shared" si="0"/>
        <v>1.019807040628566</v>
      </c>
      <c r="E28" s="29"/>
      <c r="F28" s="17">
        <f t="shared" si="1"/>
        <v>0.11258999068426241</v>
      </c>
      <c r="G28" s="17">
        <f t="shared" si="2"/>
        <v>-2.8147497671065599E-2</v>
      </c>
      <c r="H28" s="29"/>
      <c r="I28" s="18">
        <f t="shared" si="3"/>
        <v>2.8147497671065599E-2</v>
      </c>
    </row>
    <row r="29" spans="1:9">
      <c r="A29" s="16">
        <v>17</v>
      </c>
      <c r="B29" s="17">
        <f t="shared" si="4"/>
        <v>0.11258999068426241</v>
      </c>
      <c r="C29" s="17">
        <f t="shared" si="5"/>
        <v>0.22517998136852482</v>
      </c>
      <c r="D29" s="17">
        <f t="shared" si="0"/>
        <v>1.0126765060022822</v>
      </c>
      <c r="E29" s="29"/>
      <c r="F29" s="17">
        <f t="shared" si="1"/>
        <v>9.0071992547409926E-2</v>
      </c>
      <c r="G29" s="17">
        <f t="shared" si="2"/>
        <v>-2.2517998136852485E-2</v>
      </c>
      <c r="H29" s="29"/>
      <c r="I29" s="18">
        <f t="shared" si="3"/>
        <v>2.2517998136852485E-2</v>
      </c>
    </row>
    <row r="30" spans="1:9">
      <c r="A30" s="16">
        <v>18</v>
      </c>
      <c r="B30" s="17">
        <f t="shared" si="4"/>
        <v>9.0071992547409926E-2</v>
      </c>
      <c r="C30" s="17">
        <f t="shared" si="5"/>
        <v>0.18014398509481985</v>
      </c>
      <c r="D30" s="17">
        <f t="shared" si="0"/>
        <v>1.0081129638414608</v>
      </c>
      <c r="E30" s="29"/>
      <c r="F30" s="17">
        <f t="shared" si="1"/>
        <v>7.2057594037927941E-2</v>
      </c>
      <c r="G30" s="17">
        <f t="shared" si="2"/>
        <v>-1.8014398509481985E-2</v>
      </c>
      <c r="H30" s="29"/>
      <c r="I30" s="18">
        <f t="shared" si="3"/>
        <v>1.8014398509481985E-2</v>
      </c>
    </row>
    <row r="31" spans="1:9">
      <c r="A31" s="16">
        <v>19</v>
      </c>
      <c r="B31" s="17">
        <f t="shared" si="4"/>
        <v>7.2057594037927941E-2</v>
      </c>
      <c r="C31" s="17">
        <f t="shared" si="5"/>
        <v>0.14411518807585588</v>
      </c>
      <c r="D31" s="17">
        <f t="shared" si="0"/>
        <v>1.0051922968585347</v>
      </c>
      <c r="E31" s="29"/>
      <c r="F31" s="17">
        <f t="shared" si="1"/>
        <v>5.7646075230342354E-2</v>
      </c>
      <c r="G31" s="17">
        <f t="shared" si="2"/>
        <v>-1.4411518807585587E-2</v>
      </c>
      <c r="H31" s="29"/>
      <c r="I31" s="18">
        <f t="shared" si="3"/>
        <v>1.4411518807585587E-2</v>
      </c>
    </row>
    <row r="32" spans="1:9">
      <c r="A32" s="16">
        <v>20</v>
      </c>
      <c r="B32" s="17">
        <f t="shared" si="4"/>
        <v>5.7646075230342354E-2</v>
      </c>
      <c r="C32" s="17">
        <f t="shared" si="5"/>
        <v>0.11529215046068471</v>
      </c>
      <c r="D32" s="17">
        <f t="shared" si="0"/>
        <v>1.0033230699894622</v>
      </c>
      <c r="E32" s="29"/>
      <c r="F32" s="17">
        <f t="shared" si="1"/>
        <v>4.6116860184273883E-2</v>
      </c>
      <c r="G32" s="17">
        <f t="shared" si="2"/>
        <v>-1.1529215046068471E-2</v>
      </c>
      <c r="H32" s="29"/>
      <c r="I32" s="18">
        <f t="shared" si="3"/>
        <v>1.1529215046068471E-2</v>
      </c>
    </row>
    <row r="33" spans="1:9">
      <c r="A33" s="16">
        <v>21</v>
      </c>
      <c r="B33" s="17">
        <f t="shared" si="4"/>
        <v>4.6116860184273883E-2</v>
      </c>
      <c r="C33" s="17">
        <f t="shared" si="5"/>
        <v>9.2233720368547767E-2</v>
      </c>
      <c r="D33" s="17">
        <f t="shared" si="0"/>
        <v>1.0021267647932559</v>
      </c>
      <c r="E33" s="29"/>
      <c r="F33" s="17">
        <f t="shared" si="1"/>
        <v>3.6893488147419107E-2</v>
      </c>
      <c r="G33" s="17">
        <f t="shared" si="2"/>
        <v>-9.2233720368547767E-3</v>
      </c>
      <c r="H33" s="29"/>
      <c r="I33" s="18">
        <f t="shared" si="3"/>
        <v>9.2233720368547767E-3</v>
      </c>
    </row>
    <row r="34" spans="1:9">
      <c r="A34" s="16">
        <v>22</v>
      </c>
      <c r="B34" s="17">
        <f t="shared" si="4"/>
        <v>3.6893488147419107E-2</v>
      </c>
      <c r="C34" s="17">
        <f t="shared" si="5"/>
        <v>7.3786976294838214E-2</v>
      </c>
      <c r="D34" s="17">
        <f t="shared" si="0"/>
        <v>1.0013611294676839</v>
      </c>
      <c r="E34" s="29"/>
      <c r="F34" s="17">
        <f t="shared" si="1"/>
        <v>2.9514790517935284E-2</v>
      </c>
      <c r="G34" s="17">
        <f t="shared" si="2"/>
        <v>-7.3786976294838227E-3</v>
      </c>
      <c r="H34" s="29"/>
      <c r="I34" s="18">
        <f t="shared" si="3"/>
        <v>7.3786976294838227E-3</v>
      </c>
    </row>
    <row r="35" spans="1:9">
      <c r="A35" s="16">
        <v>23</v>
      </c>
      <c r="B35" s="17">
        <f t="shared" si="4"/>
        <v>2.9514790517935284E-2</v>
      </c>
      <c r="C35" s="17">
        <f t="shared" si="5"/>
        <v>5.9029581035870568E-2</v>
      </c>
      <c r="D35" s="17">
        <f t="shared" si="0"/>
        <v>1.0008711228593177</v>
      </c>
      <c r="E35" s="29"/>
      <c r="F35" s="17">
        <f t="shared" si="1"/>
        <v>2.3611832414348229E-2</v>
      </c>
      <c r="G35" s="17">
        <f t="shared" si="2"/>
        <v>-5.9029581035870554E-3</v>
      </c>
      <c r="H35" s="29"/>
      <c r="I35" s="18">
        <f t="shared" si="3"/>
        <v>5.9029581035870554E-3</v>
      </c>
    </row>
    <row r="36" spans="1:9">
      <c r="A36" s="16">
        <v>24</v>
      </c>
      <c r="B36" s="17">
        <f t="shared" si="4"/>
        <v>2.3611832414348229E-2</v>
      </c>
      <c r="C36" s="17">
        <f t="shared" si="5"/>
        <v>4.7223664828696457E-2</v>
      </c>
      <c r="D36" s="17">
        <f t="shared" si="0"/>
        <v>1.0005575186299633</v>
      </c>
      <c r="E36" s="29"/>
      <c r="F36" s="17">
        <f t="shared" si="1"/>
        <v>1.8889465931478583E-2</v>
      </c>
      <c r="G36" s="17">
        <f t="shared" si="2"/>
        <v>-4.7223664828696457E-3</v>
      </c>
      <c r="H36" s="29"/>
      <c r="I36" s="18">
        <f t="shared" si="3"/>
        <v>4.7223664828696457E-3</v>
      </c>
    </row>
    <row r="37" spans="1:9">
      <c r="A37" s="16">
        <v>25</v>
      </c>
      <c r="B37" s="17">
        <f t="shared" si="4"/>
        <v>1.8889465931478583E-2</v>
      </c>
      <c r="C37" s="17">
        <f t="shared" si="5"/>
        <v>3.7778931862957166E-2</v>
      </c>
      <c r="D37" s="17">
        <f t="shared" si="0"/>
        <v>1.0003568119231765</v>
      </c>
      <c r="E37" s="29"/>
      <c r="F37" s="17">
        <f t="shared" si="1"/>
        <v>1.5111572745182867E-2</v>
      </c>
      <c r="G37" s="17">
        <f t="shared" si="2"/>
        <v>-3.7778931862957159E-3</v>
      </c>
      <c r="H37" s="29"/>
      <c r="I37" s="18">
        <f t="shared" si="3"/>
        <v>3.7778931862957159E-3</v>
      </c>
    </row>
    <row r="38" spans="1:9">
      <c r="A38" s="16">
        <v>26</v>
      </c>
      <c r="B38" s="17">
        <f t="shared" si="4"/>
        <v>1.5111572745182867E-2</v>
      </c>
      <c r="C38" s="17">
        <f t="shared" si="5"/>
        <v>3.0223145490365734E-2</v>
      </c>
      <c r="D38" s="17">
        <f t="shared" si="0"/>
        <v>1.000228359630833</v>
      </c>
      <c r="E38" s="29"/>
      <c r="F38" s="17">
        <f t="shared" si="1"/>
        <v>1.2089258196146294E-2</v>
      </c>
      <c r="G38" s="17">
        <f t="shared" si="2"/>
        <v>-3.0223145490365731E-3</v>
      </c>
      <c r="H38" s="29"/>
      <c r="I38" s="18">
        <f t="shared" si="3"/>
        <v>3.0223145490365731E-3</v>
      </c>
    </row>
    <row r="39" spans="1:9">
      <c r="A39" s="16">
        <v>27</v>
      </c>
      <c r="B39" s="17">
        <f t="shared" si="4"/>
        <v>1.2089258196146294E-2</v>
      </c>
      <c r="C39" s="17">
        <f t="shared" si="5"/>
        <v>2.4178516392292588E-2</v>
      </c>
      <c r="D39" s="17">
        <f t="shared" si="0"/>
        <v>1.000146150163733</v>
      </c>
      <c r="E39" s="29"/>
      <c r="F39" s="17">
        <f t="shared" si="1"/>
        <v>9.6714065569170355E-3</v>
      </c>
      <c r="G39" s="17">
        <f t="shared" si="2"/>
        <v>-2.4178516392292584E-3</v>
      </c>
      <c r="H39" s="29"/>
      <c r="I39" s="18">
        <f t="shared" si="3"/>
        <v>2.4178516392292584E-3</v>
      </c>
    </row>
    <row r="40" spans="1:9">
      <c r="A40" s="16">
        <v>28</v>
      </c>
      <c r="B40" s="17">
        <f t="shared" si="4"/>
        <v>9.6714065569170355E-3</v>
      </c>
      <c r="C40" s="17">
        <f t="shared" si="5"/>
        <v>1.9342813113834071E-2</v>
      </c>
      <c r="D40" s="17">
        <f t="shared" si="0"/>
        <v>1.0000935361047891</v>
      </c>
      <c r="E40" s="29"/>
      <c r="F40" s="17">
        <f t="shared" si="1"/>
        <v>7.7371252455336282E-3</v>
      </c>
      <c r="G40" s="17">
        <f t="shared" si="2"/>
        <v>-1.9342813113834073E-3</v>
      </c>
      <c r="H40" s="29"/>
      <c r="I40" s="18">
        <f t="shared" si="3"/>
        <v>1.9342813113834073E-3</v>
      </c>
    </row>
    <row r="41" spans="1:9">
      <c r="A41" s="16">
        <v>29</v>
      </c>
      <c r="B41" s="17">
        <f t="shared" si="4"/>
        <v>7.7371252455336282E-3</v>
      </c>
      <c r="C41" s="17">
        <f t="shared" si="5"/>
        <v>1.5474250491067256E-2</v>
      </c>
      <c r="D41" s="17">
        <f t="shared" si="0"/>
        <v>1.0000598631070652</v>
      </c>
      <c r="E41" s="29"/>
      <c r="F41" s="17">
        <f t="shared" si="1"/>
        <v>6.1897001964269028E-3</v>
      </c>
      <c r="G41" s="17">
        <f t="shared" si="2"/>
        <v>-1.5474250491067255E-3</v>
      </c>
      <c r="H41" s="29"/>
      <c r="I41" s="18">
        <f t="shared" si="3"/>
        <v>1.5474250491067255E-3</v>
      </c>
    </row>
    <row r="42" spans="1:9">
      <c r="A42" s="19">
        <v>30</v>
      </c>
      <c r="B42" s="20">
        <f t="shared" si="4"/>
        <v>6.1897001964269028E-3</v>
      </c>
      <c r="C42" s="20">
        <f t="shared" si="5"/>
        <v>1.2379400392853806E-2</v>
      </c>
      <c r="D42" s="20">
        <f t="shared" si="0"/>
        <v>1.0000383123885217</v>
      </c>
      <c r="E42" s="29"/>
      <c r="F42" s="20">
        <f t="shared" si="1"/>
        <v>4.9517601571415224E-3</v>
      </c>
      <c r="G42" s="20">
        <f t="shared" si="2"/>
        <v>-1.2379400392853804E-3</v>
      </c>
      <c r="H42" s="29"/>
      <c r="I42" s="21">
        <f t="shared" si="3"/>
        <v>1.2379400392853804E-3</v>
      </c>
    </row>
  </sheetData>
  <mergeCells count="4">
    <mergeCell ref="A1:L1"/>
    <mergeCell ref="A3:C3"/>
    <mergeCell ref="F3:L3"/>
    <mergeCell ref="A10:I10"/>
  </mergeCells>
  <phoneticPr fontId="5" type="noConversion"/>
  <conditionalFormatting sqref="D12:E42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I12:I42">
    <cfRule type="cellIs" dxfId="9" priority="1" operator="lessThan">
      <formula>$B$8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GD 실습</vt:lpstr>
      <vt:lpstr>학습률 비교</vt:lpstr>
      <vt:lpstr>GD 실습-정지 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ehpark</dc:creator>
  <cp:lastModifiedBy>PC502</cp:lastModifiedBy>
  <dcterms:created xsi:type="dcterms:W3CDTF">2026-05-04T02:45:50Z</dcterms:created>
  <dcterms:modified xsi:type="dcterms:W3CDTF">2026-05-04T07:50:24Z</dcterms:modified>
</cp:coreProperties>
</file>